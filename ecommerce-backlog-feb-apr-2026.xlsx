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print Plan" sheetId="2" state="visible" r:id="rId4"/>
    <sheet name="How to use" sheetId="3" state="visible" r:id="rId5"/>
  </sheets>
  <definedNames>
    <definedName function="false" hidden="true" localSheetId="0" name="_xlnm._FilterDatabase" vbProcedure="false">Backlog!$A$1:$O$101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<sst xmlns="http://schemas.openxmlformats.org/spreadsheetml/2006/main" count="984" uniqueCount="356">
  <si>
    <t xml:space="preserve">ID</t>
  </si>
  <si>
    <t xml:space="preserve">Sprint</t>
  </si>
  <si>
    <t xml:space="preserve">Sprint Focus</t>
  </si>
  <si>
    <t xml:space="preserve">Start</t>
  </si>
  <si>
    <t xml:space="preserve">Due</t>
  </si>
  <si>
    <t xml:space="preserve">Title</t>
  </si>
  <si>
    <t xml:space="preserve">Area</t>
  </si>
  <si>
    <t xml:space="preserve">Type</t>
  </si>
  <si>
    <t xml:space="preserve">Priority</t>
  </si>
  <si>
    <t xml:space="preserve">Est. (h)</t>
  </si>
  <si>
    <t xml:space="preserve">Files / Path</t>
  </si>
  <si>
    <t xml:space="preserve">Acceptance criteria</t>
  </si>
  <si>
    <t xml:space="preserve">Status</t>
  </si>
  <si>
    <t xml:space="preserve">Owner</t>
  </si>
  <si>
    <t xml:space="preserve">Notes</t>
  </si>
  <si>
    <t xml:space="preserve">Sprint 1</t>
  </si>
  <si>
    <t xml:space="preserve">Security &amp; auth hardening</t>
  </si>
  <si>
    <t xml:space="preserve">Return after 'User already exists' in createUser</t>
  </si>
  <si>
    <t xml:space="preserve">Auth</t>
  </si>
  <si>
    <t xml:space="preserve">Bug</t>
  </si>
  <si>
    <t xml:space="preserve">Critical</t>
  </si>
  <si>
    <t xml:space="preserve">backend/controllers/userController.js</t>
  </si>
  <si>
    <t xml:space="preserve">Registering with an existing email returns a single 400 JSON response, no user is saved, and no 'Cannot set headers after they are sent' error appears in the log.</t>
  </si>
  <si>
    <t xml:space="preserve">Not started</t>
  </si>
  <si>
    <t xml:space="preserve">Send 401 on failed login instead of hanging</t>
  </si>
  <si>
    <t xml:space="preserve">Unknown email or wrong password returns 401 {message:'Invalid email or password'}; the request never hangs open.</t>
  </si>
  <si>
    <t xml:space="preserve">Remove console.log of email and plaintext password</t>
  </si>
  <si>
    <t xml:space="preserve">Security</t>
  </si>
  <si>
    <t xml:space="preserve">No credential values appear in server logs for any auth request.</t>
  </si>
  <si>
    <t xml:space="preserve">Fix 'httyOnly' typo in logout cookie options</t>
  </si>
  <si>
    <t xml:space="preserve">High</t>
  </si>
  <si>
    <t xml:space="preserve">Logout clears the jwt cookie with correct httpOnly flag; a follow-up /profile call returns 401.</t>
  </si>
  <si>
    <t xml:space="preserve">Strip password hashes from GET /api/users response</t>
  </si>
  <si>
    <t xml:space="preserve">getAllUsers uses .select('-password'); no hash field is present in the admin user list payload.</t>
  </si>
  <si>
    <t xml:space="preserve">Add global errorHandler and notFound middleware</t>
  </si>
  <si>
    <t xml:space="preserve">Backend</t>
  </si>
  <si>
    <t xml:space="preserve">Chore</t>
  </si>
  <si>
    <t xml:space="preserve">backend/middlewares/, backend/index.js</t>
  </si>
  <si>
    <t xml:space="preserve">Unmatched routes return 404 JSON; thrown errors return the intended status code with a stack trace only in development.</t>
  </si>
  <si>
    <t xml:space="preserve">Rewrite asyncHandler to forward errors instead of always 500</t>
  </si>
  <si>
    <t xml:space="preserve">backend/middlewares/asyncHandler.js</t>
  </si>
  <si>
    <t xml:space="preserve">A controller that sets res.status(404) before throwing responds 404, not 500.</t>
  </si>
  <si>
    <t xml:space="preserve">Fix checkId to call next(error) for invalid ObjectId</t>
  </si>
  <si>
    <t xml:space="preserve">Medium</t>
  </si>
  <si>
    <t xml:space="preserve">backend/middlewares/checkId.js</t>
  </si>
  <si>
    <t xml:space="preserve">GET /api/products/abc returns a clean 404 JSON instead of an unhandled synchronous throw.</t>
  </si>
  <si>
    <t xml:space="preserve">Validate required env vars at boot and fail fast</t>
  </si>
  <si>
    <t xml:space="preserve">backend/index.js, backend/config/db.js</t>
  </si>
  <si>
    <t xml:space="preserve">Missing MONGO_URI or JWT_SECRET exits with a named error before the server starts listening.</t>
  </si>
  <si>
    <t xml:space="preserve">Fix cookie secure flag so local HTTP login works</t>
  </si>
  <si>
    <t xml:space="preserve">backend/utils/createToken.js</t>
  </si>
  <si>
    <t xml:space="preserve">Cookie is secure only when NODE_ENV==='production'; login works over http://localhost and stays secure in production.</t>
  </si>
  <si>
    <t xml:space="preserve">Rate limit login and registration endpoints</t>
  </si>
  <si>
    <t xml:space="preserve">Feature</t>
  </si>
  <si>
    <t xml:space="preserve">backend/routes/userRoutes.js</t>
  </si>
  <si>
    <t xml:space="preserve">express-rate-limit caps /api/users/auth at 5 attempts per 15 min per IP and returns 429 with a retry hint.</t>
  </si>
  <si>
    <t xml:space="preserve">Add helmet and a configured CORS allowlist</t>
  </si>
  <si>
    <t xml:space="preserve">backend/index.js</t>
  </si>
  <si>
    <t xml:space="preserve">helmet is enabled and CORS accepts credentials only from origins in the CLIENT_URL allowlist.</t>
  </si>
  <si>
    <t xml:space="preserve">Sanitize input against NoSQL injection</t>
  </si>
  <si>
    <t xml:space="preserve">express-mongo-sanitize is wired in; posting {"email":{"$gt":""}} to /api/users/auth returns 400, not a session.</t>
  </si>
  <si>
    <t xml:space="preserve">Add schema validation for auth request bodies</t>
  </si>
  <si>
    <t xml:space="preserve">backend/middlewares/validate.js, backend/routes/userRoutes.js</t>
  </si>
  <si>
    <t xml:space="preserve">zod schemas reject malformed register/login bodies with 400 and a field-level error list.</t>
  </si>
  <si>
    <t xml:space="preserve">Enforce password strength and normalize emails</t>
  </si>
  <si>
    <t xml:space="preserve">backend/controllers/userController.js, backend/models/userModel.js</t>
  </si>
  <si>
    <t xml:space="preserve">Passwords under 8 chars are rejected; emails are lowercased and trimmed before the uniqueness check.</t>
  </si>
  <si>
    <t xml:space="preserve">Shorten JWT lifetime and add a refresh token flow</t>
  </si>
  <si>
    <t xml:space="preserve">backend/utils/createToken.js, backend/controllers/userController.js</t>
  </si>
  <si>
    <t xml:space="preserve">Access token expires in 1 day, a refresh cookie renews it, and logout invalidates both.</t>
  </si>
  <si>
    <t xml:space="preserve">Add .env.example for backend and frontend</t>
  </si>
  <si>
    <t xml:space="preserve">DevOps</t>
  </si>
  <si>
    <t xml:space="preserve">Docs</t>
  </si>
  <si>
    <t xml:space="preserve">backend/.env.example, frontend/.env.example</t>
  </si>
  <si>
    <t xml:space="preserve">Both files list every required variable with a safe placeholder; real .env files stay gitignored.</t>
  </si>
  <si>
    <t xml:space="preserve">Sprint 2</t>
  </si>
  <si>
    <t xml:space="preserve">Products, categories &amp; uploads</t>
  </si>
  <si>
    <t xml:space="preserve">Fix 'createAt' typo in fetchAllProducts sort</t>
  </si>
  <si>
    <t xml:space="preserve">backend/controllers/productController.js</t>
  </si>
  <si>
    <t xml:space="preserve">Sort uses createdAt so /api/products/allproducts actually returns newest-first.</t>
  </si>
  <si>
    <t xml:space="preserve">Implement real pagination in fetchProducts</t>
  </si>
  <si>
    <t xml:space="preserve">Endpoint honours ?page=, applies .skip(), and returns accurate page, pages and hasMore values.</t>
  </si>
  <si>
    <t xml:space="preserve">Wire product list UI to the new pagination API</t>
  </si>
  <si>
    <t xml:space="preserve">Frontend</t>
  </si>
  <si>
    <t xml:space="preserve">frontend/src/redux/api/productApiSlice.js, frontend/src/pages/Shop.jsx</t>
  </si>
  <si>
    <t xml:space="preserve">Shop and Home pass the page param and render working prev/next controls.</t>
  </si>
  <si>
    <t xml:space="preserve">Attach the uploaded image path when creating a product</t>
  </si>
  <si>
    <t xml:space="preserve">backend/controllers/productController.js, frontend/src/pages/Admin/ProductList.jsx</t>
  </si>
  <si>
    <t xml:space="preserve">Creating a product with an upload saves the image field; the model's required-image validation no longer rejects the save.</t>
  </si>
  <si>
    <t xml:space="preserve">Fix Windows backslashes in the upload response path</t>
  </si>
  <si>
    <t xml:space="preserve">backend/routes/uploadRoutes.js</t>
  </si>
  <si>
    <t xml:space="preserve">Response returns /uploads/name.jpg with forward slashes on Windows so &lt;img src&gt; resolves.</t>
  </si>
  <si>
    <t xml:space="preserve">Create the uploads directory at boot if missing</t>
  </si>
  <si>
    <t xml:space="preserve">A fresh clone can accept an image upload without a manual mkdir.</t>
  </si>
  <si>
    <t xml:space="preserve">Add a multer file-size limit and clear error</t>
  </si>
  <si>
    <t xml:space="preserve">Files over 2MB are rejected with 400 and a readable message instead of filling disk.</t>
  </si>
  <si>
    <t xml:space="preserve">Guard updateProductDetails against a missing product</t>
  </si>
  <si>
    <t xml:space="preserve">Updating a non-existent id returns 404; the redundant second save() call is removed.</t>
  </si>
  <si>
    <t xml:space="preserve">Delete the image file from disk when a product is removed</t>
  </si>
  <si>
    <t xml:space="preserve">Removing a product unlinks its uploads file and tolerates an already-missing file.</t>
  </si>
  <si>
    <t xml:space="preserve">Replace deprecated findByIdAndRemove in removeCategory</t>
  </si>
  <si>
    <t xml:space="preserve">backend/controllers/categoryController.js</t>
  </si>
  <si>
    <t xml:space="preserve">Category deletion uses findByIdAndDelete and returns 404 when the id does not exist.</t>
  </si>
  <si>
    <t xml:space="preserve">Block deleting a category that still has products</t>
  </si>
  <si>
    <t xml:space="preserve">Deleting an in-use category returns 409 with the product count; an optional reassign target is supported.</t>
  </si>
  <si>
    <t xml:space="preserve">Validate the filterProducts request body</t>
  </si>
  <si>
    <t xml:space="preserve">POST /api/products/filtered-products with an empty body returns 400 instead of a 500 from reading .length of undefined.</t>
  </si>
  <si>
    <t xml:space="preserve">Reconcile quantity vs countInStock on the product model</t>
  </si>
  <si>
    <t xml:space="preserve">backend/models/productModel.js, backend/controllers/productController.js</t>
  </si>
  <si>
    <t xml:space="preserve">One field is the source of truth for stock; admin forms, order creation and the UI all read the same field.</t>
  </si>
  <si>
    <t xml:space="preserve">Add GET /api/category root listing and fix route ordering</t>
  </si>
  <si>
    <t xml:space="preserve">backend/routes/categoryRoutes.js</t>
  </si>
  <si>
    <t xml:space="preserve">Listing categories works at the root path and the /categories literal never gets shadowed by /:id.</t>
  </si>
  <si>
    <t xml:space="preserve">Add a text index for product search</t>
  </si>
  <si>
    <t xml:space="preserve">backend/models/productModel.js</t>
  </si>
  <si>
    <t xml:space="preserve">name, brand and description are indexed; keyword search uses the index instead of an unanchored regex scan.</t>
  </si>
  <si>
    <t xml:space="preserve">Add server-side sorting options for the product list</t>
  </si>
  <si>
    <t xml:space="preserve">?sort=price_asc|price_desc|newest|rating returns correctly ordered results.</t>
  </si>
  <si>
    <t xml:space="preserve">Support multiple images per product</t>
  </si>
  <si>
    <t xml:space="preserve">backend/models/productModel.js, frontend/src/pages/Products/ProductDetails.jsx</t>
  </si>
  <si>
    <t xml:space="preserve">Products store an images array; the detail page shows a thumbnail gallery with a main image swap.</t>
  </si>
  <si>
    <t xml:space="preserve">Add a unique slug field to products</t>
  </si>
  <si>
    <t xml:space="preserve">SEO</t>
  </si>
  <si>
    <t xml:space="preserve">Low</t>
  </si>
  <si>
    <t xml:space="preserve">backend/models/productModel.js, frontend/src/main.jsx</t>
  </si>
  <si>
    <t xml:space="preserve">Products are reachable at /product/:slug with the id route kept as a redirect.</t>
  </si>
  <si>
    <t xml:space="preserve">Compress uploads and generate thumbnails with sharp</t>
  </si>
  <si>
    <t xml:space="preserve">Every upload is resized to max 1200px and a 300px thumbnail is written alongside it.</t>
  </si>
  <si>
    <t xml:space="preserve">Write a seed script for categories, products and an admin user</t>
  </si>
  <si>
    <t xml:space="preserve">backend/seeder.js</t>
  </si>
  <si>
    <t xml:space="preserve">npm run seed populates a clean database; npm run seed:destroy clears it.</t>
  </si>
  <si>
    <t xml:space="preserve">Sprint 3</t>
  </si>
  <si>
    <t xml:space="preserve">Orders, payments &amp; data integrity</t>
  </si>
  <si>
    <t xml:space="preserve">Protect the sales analytics routes with admin auth</t>
  </si>
  <si>
    <t xml:space="preserve">backend/routes/orderRoutes.js</t>
  </si>
  <si>
    <t xml:space="preserve">total-orders, total-sales and total-sales-by-date require authenticate + authorizeAdmin and return 401 anonymously.</t>
  </si>
  <si>
    <t xml:space="preserve">Add an ownership check to findOrderById</t>
  </si>
  <si>
    <t xml:space="preserve">backend/controllers/orderController.js</t>
  </si>
  <si>
    <t xml:space="preserve">A signed-in user requesting another user's order id gets 403; admins still see every order.</t>
  </si>
  <si>
    <t xml:space="preserve">Verify PayPal payments server-side before marking paid</t>
  </si>
  <si>
    <t xml:space="preserve">Payments</t>
  </si>
  <si>
    <t xml:space="preserve">backend/controllers/orderController.js, backend/utils/paypal.js</t>
  </si>
  <si>
    <t xml:space="preserve">The order is only marked paid after the capture id is verified against the PayPal API and the amount matches totalPrice.</t>
  </si>
  <si>
    <t xml:space="preserve">Restrict markOrderAsPaid to the order owner</t>
  </si>
  <si>
    <t xml:space="preserve">PUT /api/orders/:id/pay by a non-owner returns 403 and leaves isPaid unchanged.</t>
  </si>
  <si>
    <t xml:space="preserve">Guard req.body.payer access in markOrderAsPaid</t>
  </si>
  <si>
    <t xml:space="preserve">A pay request without a payer object returns 400 rather than throwing on undefined.</t>
  </si>
  <si>
    <t xml:space="preserve">Fix createOrder crash when orderItems is missing</t>
  </si>
  <si>
    <t xml:space="preserve">POST /api/orders with no orderItems returns 400 'No order items' instead of a 500 from .map on undefined.</t>
  </si>
  <si>
    <t xml:space="preserve">Decrement stock atomically when an order is created</t>
  </si>
  <si>
    <t xml:space="preserve">Stock is reduced in the same transaction as the order write; two concurrent orders cannot oversell the last unit.</t>
  </si>
  <si>
    <t xml:space="preserve">Reject orders containing out-of-stock items</t>
  </si>
  <si>
    <t xml:space="preserve">Ordering more than countInStock returns 400 naming the offending product; nothing is written.</t>
  </si>
  <si>
    <t xml:space="preserve">Move tax rate, shipping fee and free-shipping threshold to config</t>
  </si>
  <si>
    <t xml:space="preserve">backend/controllers/orderController.js, backend/config/pricing.js</t>
  </si>
  <si>
    <t xml:space="preserve">The hardcoded 0.15, 100 and 10 come from config/env and are covered by a unit test.</t>
  </si>
  <si>
    <t xml:space="preserve">Store money as integer minor units instead of toFixed strings</t>
  </si>
  <si>
    <t xml:space="preserve">backend/models/orderModel.js, backend/controllers/orderController.js</t>
  </si>
  <si>
    <t xml:space="preserve">Totals are stored as integers (tiyin/cents); no float rounding drift appears across cart, order and analytics.</t>
  </si>
  <si>
    <t xml:space="preserve">Rename the calcualteTotalSalesByDate typo</t>
  </si>
  <si>
    <t xml:space="preserve">backend/controllers/orderController.js, backend/routes/orderRoutes.js</t>
  </si>
  <si>
    <t xml:space="preserve">The export, route handler and any frontend reference use the corrected spelling.</t>
  </si>
  <si>
    <t xml:space="preserve">Paginate and filter the admin order list</t>
  </si>
  <si>
    <t xml:space="preserve">GET /api/orders supports page, limit and status filters and returns total counts.</t>
  </si>
  <si>
    <t xml:space="preserve">Paginate the customer order history endpoint</t>
  </si>
  <si>
    <t xml:space="preserve">/api/orders/mine returns paged results sorted newest-first.</t>
  </si>
  <si>
    <t xml:space="preserve">Add an order status enum with valid transitions</t>
  </si>
  <si>
    <t xml:space="preserve">Orders carry pending|paid|shipped|delivered|cancelled; invalid transitions are rejected with 400.</t>
  </si>
  <si>
    <t xml:space="preserve">Let customers cancel an unpaid order and restock it</t>
  </si>
  <si>
    <t xml:space="preserve">backend/controllers/orderController.js, frontend/src/pages/User/UserOrder.jsx</t>
  </si>
  <si>
    <t xml:space="preserve">Cancelling an unpaid order sets status cancelled and returns the reserved quantity to stock.</t>
  </si>
  <si>
    <t xml:space="preserve">Send an order confirmation email</t>
  </si>
  <si>
    <t xml:space="preserve">backend/utils/mailer.js, backend/controllers/orderController.js</t>
  </si>
  <si>
    <t xml:space="preserve">A successful order triggers a templated email with the item list and total; failures are logged, not fatal.</t>
  </si>
  <si>
    <t xml:space="preserve">Generate a downloadable PDF invoice for paid orders</t>
  </si>
  <si>
    <t xml:space="preserve">backend/controllers/orderController.js, frontend/src/pages/Orders/Order.jsx</t>
  </si>
  <si>
    <t xml:space="preserve">GET /api/orders/:id/invoice streams a PDF with order lines, tax, shipping and total for the owner or an admin.</t>
  </si>
  <si>
    <t xml:space="preserve">Add a local payment provider (Payme/Click) for UZS</t>
  </si>
  <si>
    <t xml:space="preserve">backend/routes/paymentRoutes.js, frontend/src/pages/Orders/PlaceOrder.jsx</t>
  </si>
  <si>
    <t xml:space="preserve">A customer can pay in UZS end to end in sandbox; webhook callbacks mark the order paid idempotently.</t>
  </si>
  <si>
    <t xml:space="preserve">Sprint 4</t>
  </si>
  <si>
    <t xml:space="preserve">Frontend state &amp; checkout</t>
  </si>
  <si>
    <t xml:space="preserve">Fix the RTK Query tag mismatch ('Products' vs 'Product')</t>
  </si>
  <si>
    <t xml:space="preserve">frontend/src/redux/api/productApiSlice.js</t>
  </si>
  <si>
    <t xml:space="preserve">providesTags matches the declared tagTypes so creating a product refreshes the list without a hard reload.</t>
  </si>
  <si>
    <t xml:space="preserve">Change deleteProduct from providesTags to invalidatesTags</t>
  </si>
  <si>
    <t xml:space="preserve">Deleting a product immediately removes it from the admin list.</t>
  </si>
  <si>
    <t xml:space="preserve">Add invalidatesTags to updateProduct and createReview</t>
  </si>
  <si>
    <t xml:space="preserve">Editing a product or posting a review refreshes the detail page without a manual refetch.</t>
  </si>
  <si>
    <t xml:space="preserve">Move localStorage writes out of cart reducers</t>
  </si>
  <si>
    <t xml:space="preserve">frontend/src/redux/features/cart/cartSlice.js, frontend/src/redux/store.js</t>
  </si>
  <si>
    <t xml:space="preserve">Reducers stay pure; persistence happens in a store subscriber and cart state still survives a reload.</t>
  </si>
  <si>
    <t xml:space="preserve">Fix the no-op resetCart reducer</t>
  </si>
  <si>
    <t xml:space="preserve">frontend/src/redux/features/cart/cartSlice.js</t>
  </si>
  <si>
    <t xml:space="preserve">Dispatching resetCart actually clears items, address and payment method, and clears the persisted copy.</t>
  </si>
  <si>
    <t xml:space="preserve">Handle 401 responses globally by logging out</t>
  </si>
  <si>
    <t xml:space="preserve">frontend/src/redux/api/apiSlice.js</t>
  </si>
  <si>
    <t xml:space="preserve">An expired session clears auth state, shows a toast and redirects to /login instead of failing silently.</t>
  </si>
  <si>
    <t xml:space="preserve">Drive the API base URL from an env variable</t>
  </si>
  <si>
    <t xml:space="preserve">frontend/src/redux/constants.js, frontend/vite.config.js</t>
  </si>
  <si>
    <t xml:space="preserve">Dev keeps the proxy; production builds call VITE_API_URL, with no localhost:5000 left in the bundle.</t>
  </si>
  <si>
    <t xml:space="preserve">Pass the PayPal clientId into PayPalScriptProvider</t>
  </si>
  <si>
    <t xml:space="preserve">frontend/src/main.jsx, frontend/src/pages/Orders/Order.jsx</t>
  </si>
  <si>
    <t xml:space="preserve">The SDK loads with the clientId from /api/config/paypal and the buttons render on the order page.</t>
  </si>
  <si>
    <t xml:space="preserve">Add an ErrorBoundary and a 404 route</t>
  </si>
  <si>
    <t xml:space="preserve">frontend/src/main.jsx, frontend/src/components/ErrorBoundary.jsx</t>
  </si>
  <si>
    <t xml:space="preserve">An unknown URL renders a styled 404 page and a render error shows a recovery screen instead of a blank page.</t>
  </si>
  <si>
    <t xml:space="preserve">Delete src_backup_before_redesign and the .bak files</t>
  </si>
  <si>
    <t xml:space="preserve">frontend/src_backup_before_redesign/, frontend/*.bak</t>
  </si>
  <si>
    <t xml:space="preserve">The dead backup folder and .bak files are removed from the repo and the app still builds.</t>
  </si>
  <si>
    <t xml:space="preserve">Add inline validation to Login and Register</t>
  </si>
  <si>
    <t xml:space="preserve">frontend/src/pages/Auth/Login.jsx, frontend/src/pages/Auth/Register.jsx</t>
  </si>
  <si>
    <t xml:space="preserve">Empty, malformed or mismatched fields show field-level messages before any request is sent.</t>
  </si>
  <si>
    <t xml:space="preserve">Debounce the header search and cancel stale requests</t>
  </si>
  <si>
    <t xml:space="preserve">frontend/src/pages/Auth/Navigation.jsx</t>
  </si>
  <si>
    <t xml:space="preserve">Typing fires at most one request per 300ms and out-of-order responses never overwrite newer results.</t>
  </si>
  <si>
    <t xml:space="preserve">Persist favorites per user account instead of shared localStorage</t>
  </si>
  <si>
    <t xml:space="preserve">backend/models/userModel.js, frontend/src/redux/features/favorites/favoriteSlice.js</t>
  </si>
  <si>
    <t xml:space="preserve">Favorites follow the signed-in account across devices; guests keep a local list that merges on login.</t>
  </si>
  <si>
    <t xml:space="preserve">Add a quantity stepper capped at available stock</t>
  </si>
  <si>
    <t xml:space="preserve">frontend/src/pages/Cart.jsx</t>
  </si>
  <si>
    <t xml:space="preserve">Quantity cannot exceed countInStock and the cart shows a clear message when the cap is hit.</t>
  </si>
  <si>
    <t xml:space="preserve">Guard the checkout route against an empty cart</t>
  </si>
  <si>
    <t xml:space="preserve">frontend/src/pages/Orders/PlaceOrder.jsx, frontend/src/pages/Orders/Shipping.jsx</t>
  </si>
  <si>
    <t xml:space="preserve">Visiting /placeorder with an empty cart or missing address redirects instead of rendering a broken summary.</t>
  </si>
  <si>
    <t xml:space="preserve">Make the price breakdown consistent across cart, checkout and order</t>
  </si>
  <si>
    <t xml:space="preserve">frontend/src/pages/Cart.jsx, frontend/src/pages/Orders/PlaceOrder.jsx, frontend/src/pages/Orders/Order.jsx</t>
  </si>
  <si>
    <t xml:space="preserve">Items, tax, shipping and total are formatted by one shared helper and match the server totals exactly.</t>
  </si>
  <si>
    <t xml:space="preserve">Replace moment with dayjs</t>
  </si>
  <si>
    <t xml:space="preserve">frontend/package.json, frontend/src/pages/</t>
  </si>
  <si>
    <t xml:space="preserve">No moment import remains, dates render identically, and the bundle drops by roughly 60KB.</t>
  </si>
  <si>
    <t xml:space="preserve">Sprint 5</t>
  </si>
  <si>
    <t xml:space="preserve">UX, performance &amp; accessibility</t>
  </si>
  <si>
    <t xml:space="preserve">Add route-level code splitting</t>
  </si>
  <si>
    <t xml:space="preserve">Performance</t>
  </si>
  <si>
    <t xml:space="preserve">frontend/src/main.jsx</t>
  </si>
  <si>
    <t xml:space="preserve">Admin and checkout routes load as separate chunks behind Suspense; the initial bundle shrinks measurably.</t>
  </si>
  <si>
    <t xml:space="preserve">Lazy-load apexcharts on the admin dashboard only</t>
  </si>
  <si>
    <t xml:space="preserve">frontend/src/pages/Admin/AdminDashboard.jsx</t>
  </si>
  <si>
    <t xml:space="preserve">The charting library is absent from the storefront bundle and the dashboard still renders its graphs.</t>
  </si>
  <si>
    <t xml:space="preserve">Lazy-load product images with explicit dimensions</t>
  </si>
  <si>
    <t xml:space="preserve">frontend/src/pages/Products/, frontend/src/pages/Home.jsx</t>
  </si>
  <si>
    <t xml:space="preserve">Images use loading='lazy' with width/height set; cumulative layout shift on Home drops below 0.1.</t>
  </si>
  <si>
    <t xml:space="preserve">Add skeleton loaders to Home, Shop and ProductDetails</t>
  </si>
  <si>
    <t xml:space="preserve">frontend/src/components/Skeleton.jsx</t>
  </si>
  <si>
    <t xml:space="preserve">Each page shows a skeleton matching its final layout instead of a bare spinner.</t>
  </si>
  <si>
    <t xml:space="preserve">Make the admin tables usable on mobile</t>
  </si>
  <si>
    <t xml:space="preserve">frontend/src/pages/Admin/</t>
  </si>
  <si>
    <t xml:space="preserve">User, product and order tables stack into cards below 768px with no horizontal scroll.</t>
  </si>
  <si>
    <t xml:space="preserve">Add visible keyboard focus states throughout</t>
  </si>
  <si>
    <t xml:space="preserve">Accessibility</t>
  </si>
  <si>
    <t xml:space="preserve">frontend/src/index.css, frontend/src/pages/Auth/Navigation.jsx</t>
  </si>
  <si>
    <t xml:space="preserve">Every interactive element has a visible focus ring and the whole checkout is completable by keyboard.</t>
  </si>
  <si>
    <t xml:space="preserve">Add alt text and aria-labels for icon-only controls</t>
  </si>
  <si>
    <t xml:space="preserve">frontend/src/components/, frontend/src/pages/Products/HeartIcon.jsx</t>
  </si>
  <si>
    <t xml:space="preserve">Screen readers announce every icon button and product image meaningfully.</t>
  </si>
  <si>
    <t xml:space="preserve">Fix colour-contrast failures found by Lighthouse</t>
  </si>
  <si>
    <t xml:space="preserve">frontend/src/index.css, frontend/tailwind.config.js</t>
  </si>
  <si>
    <t xml:space="preserve">Lighthouse accessibility scores 90+ on Home, Shop and Cart with no contrast violations.</t>
  </si>
  <si>
    <t xml:space="preserve">Add per-route meta titles and descriptions</t>
  </si>
  <si>
    <t xml:space="preserve">frontend/src/pages/</t>
  </si>
  <si>
    <t xml:space="preserve">Each route sets a unique title, description and Open Graph image via react-helmet-async.</t>
  </si>
  <si>
    <t xml:space="preserve">Generate sitemap.xml and robots.txt</t>
  </si>
  <si>
    <t xml:space="preserve">frontend/public/, backend/routes/</t>
  </si>
  <si>
    <t xml:space="preserve">Both files are served in production and list every public product and category URL.</t>
  </si>
  <si>
    <t xml:space="preserve">Add multi-language support (uz / ru / en)</t>
  </si>
  <si>
    <t xml:space="preserve">frontend/src/i18n/, frontend/src/pages/</t>
  </si>
  <si>
    <t xml:space="preserve">All UI strings come from translation files, the language persists across reloads, and no hardcoded copy remains in components.</t>
  </si>
  <si>
    <t xml:space="preserve">Add UZS currency support and locale-aware formatting</t>
  </si>
  <si>
    <t xml:space="preserve">frontend/src/Utils/format.js, backend/config/pricing.js</t>
  </si>
  <si>
    <t xml:space="preserve">Prices render in the selected currency with correct grouping; the stored value stays in one base currency.</t>
  </si>
  <si>
    <t xml:space="preserve">Show related products on the detail page</t>
  </si>
  <si>
    <t xml:space="preserve">frontend/src/pages/Products/ProductDetails.jsx, backend/controllers/productController.js</t>
  </si>
  <si>
    <t xml:space="preserve">The detail page shows up to 4 same-category products excluding the current one.</t>
  </si>
  <si>
    <t xml:space="preserve">Add a recently viewed products strip</t>
  </si>
  <si>
    <t xml:space="preserve">frontend/src/pages/Home.jsx, frontend/src/Utils/localStorage.js</t>
  </si>
  <si>
    <t xml:space="preserve">The last 8 viewed products appear on Home, deduplicated and capped.</t>
  </si>
  <si>
    <t xml:space="preserve">Add a low-stock alert widget to the admin dashboard</t>
  </si>
  <si>
    <t xml:space="preserve">frontend/src/pages/Admin/AdminDashboard.jsx, backend/controllers/productController.js</t>
  </si>
  <si>
    <t xml:space="preserve">Products under a configurable stock threshold are listed with a direct link to edit each one.</t>
  </si>
  <si>
    <t xml:space="preserve">Build a review moderation queue for admins</t>
  </si>
  <si>
    <t xml:space="preserve">backend/controllers/productController.js, frontend/src/pages/Admin/</t>
  </si>
  <si>
    <t xml:space="preserve">Admins can approve, hide or delete reviews; only approved reviews count toward the product rating.</t>
  </si>
  <si>
    <t xml:space="preserve">Sprint 6</t>
  </si>
  <si>
    <t xml:space="preserve">Testing, CI/CD &amp; deployment</t>
  </si>
  <si>
    <t xml:space="preserve">Set up Jest and Supertest with an in-memory MongoDB</t>
  </si>
  <si>
    <t xml:space="preserve">Testing</t>
  </si>
  <si>
    <t xml:space="preserve">backend/package.json, backend/tests/setup.js</t>
  </si>
  <si>
    <t xml:space="preserve">npm test runs against mongodb-memory-server and passes on a clean clone; the placeholder test script is gone.</t>
  </si>
  <si>
    <t xml:space="preserve">Unit test calcPrices, cartUtils and the auth middleware</t>
  </si>
  <si>
    <t xml:space="preserve">backend/tests/unit/, frontend/src/Utils/</t>
  </si>
  <si>
    <t xml:space="preserve">Tax, shipping threshold, cart totals and token rejection paths are covered, including boundary values.</t>
  </si>
  <si>
    <t xml:space="preserve">Integration test the full auth flow</t>
  </si>
  <si>
    <t xml:space="preserve">backend/tests/integration/auth.test.js</t>
  </si>
  <si>
    <t xml:space="preserve">Register, login, profile read, profile update and logout are covered, plus duplicate-email and bad-password cases.</t>
  </si>
  <si>
    <t xml:space="preserve">Integration test the order lifecycle</t>
  </si>
  <si>
    <t xml:space="preserve">backend/tests/integration/orders.test.js</t>
  </si>
  <si>
    <t xml:space="preserve">Create, pay, deliver and cancel are covered along with the ownership and stock-rejection paths.</t>
  </si>
  <si>
    <t xml:space="preserve">Set up Vitest and React Testing Library</t>
  </si>
  <si>
    <t xml:space="preserve">frontend/package.json, frontend/src/tests/</t>
  </si>
  <si>
    <t xml:space="preserve">Cart reducer, format helpers and the Login form render and assert correctly under npm test.</t>
  </si>
  <si>
    <t xml:space="preserve">Add a Playwright end-to-end checkout test</t>
  </si>
  <si>
    <t xml:space="preserve">e2e/checkout.spec.js</t>
  </si>
  <si>
    <t xml:space="preserve">Browse, add to cart, sign in, ship, pay in sandbox and see the confirmation all pass headlessly in CI.</t>
  </si>
  <si>
    <t xml:space="preserve">Add a GitHub Actions CI pipeline</t>
  </si>
  <si>
    <t xml:space="preserve">GITHUB/workflows/ci.yml</t>
  </si>
  <si>
    <t xml:space="preserve">Every pull request runs lint, backend tests, frontend tests and a production build, and blocks merge on failure.</t>
  </si>
  <si>
    <t xml:space="preserve">Add Prettier, lint-staged and a pre-commit hook</t>
  </si>
  <si>
    <t xml:space="preserve">package.json, .prettierrc, .husky/</t>
  </si>
  <si>
    <t xml:space="preserve">Staged files are formatted and linted before commit; the repo is fully formatted in one baseline commit.</t>
  </si>
  <si>
    <t xml:space="preserve">Add Dockerfile and docker-compose for the whole stack</t>
  </si>
  <si>
    <t xml:space="preserve">Dockerfile, docker-compose.yml</t>
  </si>
  <si>
    <t xml:space="preserve">docker compose up starts MongoDB, the API and the built frontend, and the app is reachable on one port.</t>
  </si>
  <si>
    <t xml:space="preserve">Serve the frontend build from Express in production</t>
  </si>
  <si>
    <t xml:space="preserve">In production the API serves the Vite build and falls back to index.html for client-side routes.</t>
  </si>
  <si>
    <t xml:space="preserve">Write the root README</t>
  </si>
  <si>
    <t xml:space="preserve">README.md</t>
  </si>
  <si>
    <t xml:space="preserve">Covers setup, env vars, npm scripts, API route table, folder structure and a deployment section with screenshots.</t>
  </si>
  <si>
    <t xml:space="preserve">Add structured logging and a health check endpoint</t>
  </si>
  <si>
    <t xml:space="preserve">backend/index.js, backend/utils/logger.js</t>
  </si>
  <si>
    <t xml:space="preserve">pino logs requests with a request id and GET /api/health reports uptime plus database connectivity.</t>
  </si>
  <si>
    <t xml:space="preserve">Sprint plan - Feb 2 to Apr 30, 2026</t>
  </si>
  <si>
    <t xml:space="preserve">Every figure below is a live formula over the Backlog sheet.</t>
  </si>
  <si>
    <t xml:space="preserve">Focus</t>
  </si>
  <si>
    <t xml:space="preserve">End</t>
  </si>
  <si>
    <t xml:space="preserve">Tasks</t>
  </si>
  <si>
    <t xml:space="preserve">Done</t>
  </si>
  <si>
    <t xml:space="preserve">% Done</t>
  </si>
  <si>
    <t xml:space="preserve">TOTAL</t>
  </si>
  <si>
    <t xml:space="preserve">Full Feb-Apr backlog</t>
  </si>
  <si>
    <t xml:space="preserve">Breakdown by area</t>
  </si>
  <si>
    <t xml:space="preserve">Share of hours</t>
  </si>
  <si>
    <t xml:space="preserve">How to use this backlog</t>
  </si>
  <si>
    <t xml:space="preserve">Backlog for</t>
  </si>
  <si>
    <t xml:space="preserve">github.com/Azizbeccoder/E-commerce-web_site (MERN e-commerce: Express + MongoDB API, React + Redux Toolkit + Vite frontend)</t>
  </si>
  <si>
    <t xml:space="preserve">Window</t>
  </si>
  <si>
    <t xml:space="preserve">February 2 - April 30, 2026, split into six two-week sprints.</t>
  </si>
  <si>
    <t xml:space="preserve">How it was built</t>
  </si>
  <si>
    <t xml:space="preserve">Every item was written against the actual code in the repo. Bug items name a real defect found in a specific file; feature and chore items build on what already exists.</t>
  </si>
  <si>
    <t xml:space="preserve">Columns you edit</t>
  </si>
  <si>
    <t xml:space="preserve">Status, Owner, Notes. Everything else is reference.</t>
  </si>
  <si>
    <t xml:space="preserve">Status values</t>
  </si>
  <si>
    <t xml:space="preserve">Not started / In progress / In review / Blocked / Done (dropdown)</t>
  </si>
  <si>
    <t xml:space="preserve">Priority values</t>
  </si>
  <si>
    <t xml:space="preserve">Critical / High / Medium / Low (dropdown; Critical and High are colour-coded)</t>
  </si>
  <si>
    <t xml:space="preserve">Rough solo-developer estimate in hours. Adjust freely - the Sprint Plan totals recalculate.</t>
  </si>
  <si>
    <t xml:space="preserve">Sprint Plan tab</t>
  </si>
  <si>
    <t xml:space="preserve">Live COUNTIF/SUMIF formulas over the Backlog sheet. Change a Status to Done and the % Done column updates.</t>
  </si>
  <si>
    <t xml:space="preserve">Example row</t>
  </si>
  <si>
    <t xml:space="preserve">Row 2: ID 1, Sprint 1, due 2026-02-02, 'Return after User already exists in createUser', Auth / Bug / Critical, 1.0h - set Status to 'In progress' and put your name in Owner.</t>
  </si>
  <si>
    <t xml:space="preserve">Assumptions</t>
  </si>
  <si>
    <t xml:space="preserve">Estimates assume one full-time developer and no team velocity data was available - they are the author's judgement, not measured. Due dates are spread evenly across each sprint's business days rather than dependency-ordered.</t>
  </si>
  <si>
    <t xml:space="preserve">Sprint 1 rationale</t>
  </si>
  <si>
    <t xml:space="preserve">Auth and error-handling defects come first because several of them (missing return on duplicate signup, silent hang on failed login, plaintext password logging) affect every request path underneath.</t>
  </si>
  <si>
    <t xml:space="preserve">Sprint 3 rationale</t>
  </si>
  <si>
    <t xml:space="preserve">Payment verification and stock decrement are grouped because both are order-write concerns and touch the same controller.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</si>
</sst>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"/>
    <numFmt numFmtId="167" formatCode="0.0%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DCE6F1"/>
        <bgColor rgb="FFD0D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DCE6F1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52"/>
    <col collapsed="false" customWidth="true" hidden="false" outlineLevel="0" max="7" min="7" style="0" width="15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46"/>
    <col collapsed="false" customWidth="true" hidden="false" outlineLevel="0" max="12" min="12" style="0" width="78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n">
        <v>1</v>
      </c>
      <c r="B2" s="2" t="s">
        <v>15</v>
      </c>
      <c r="C2" s="3" t="s">
        <v>16</v>
      </c>
      <c r="D2" s="4" t="n">
        <v>46055</v>
      </c>
      <c r="E2" s="4" t="n">
        <v>46056</v>
      </c>
      <c r="F2" s="5" t="s">
        <v>17</v>
      </c>
      <c r="G2" s="6" t="s">
        <v>18</v>
      </c>
      <c r="H2" s="2" t="s">
        <v>19</v>
      </c>
      <c r="I2" s="2" t="s">
        <v>20</v>
      </c>
      <c r="J2" s="7" t="n">
        <v>1</v>
      </c>
      <c r="K2" s="3" t="s">
        <v>21</v>
      </c>
      <c r="L2" s="3" t="s">
        <v>22</v>
      </c>
      <c r="M2" s="2" t="s">
        <v>23</v>
      </c>
      <c r="N2" s="6"/>
      <c r="O2" s="3"/>
    </row>
    <row r="3" customFormat="false" ht="23.85" hidden="false" customHeight="false" outlineLevel="0" collapsed="false">
      <c r="A3" s="8" t="n">
        <v>2</v>
      </c>
      <c r="B3" s="8" t="s">
        <v>15</v>
      </c>
      <c r="C3" s="9" t="s">
        <v>16</v>
      </c>
      <c r="D3" s="10" t="n">
        <v>46055</v>
      </c>
      <c r="E3" s="10" t="n">
        <v>46056</v>
      </c>
      <c r="F3" s="11" t="s">
        <v>24</v>
      </c>
      <c r="G3" s="12" t="s">
        <v>18</v>
      </c>
      <c r="H3" s="8" t="s">
        <v>19</v>
      </c>
      <c r="I3" s="8" t="s">
        <v>20</v>
      </c>
      <c r="J3" s="13" t="n">
        <v>1</v>
      </c>
      <c r="K3" s="9" t="s">
        <v>21</v>
      </c>
      <c r="L3" s="9" t="s">
        <v>25</v>
      </c>
      <c r="M3" s="8" t="s">
        <v>23</v>
      </c>
      <c r="N3" s="12"/>
      <c r="O3" s="9"/>
    </row>
    <row r="4" customFormat="false" ht="15" hidden="false" customHeight="false" outlineLevel="0" collapsed="false">
      <c r="A4" s="2" t="n">
        <v>3</v>
      </c>
      <c r="B4" s="2" t="s">
        <v>15</v>
      </c>
      <c r="C4" s="3" t="s">
        <v>16</v>
      </c>
      <c r="D4" s="4" t="n">
        <v>46055</v>
      </c>
      <c r="E4" s="4" t="n">
        <v>46057</v>
      </c>
      <c r="F4" s="5" t="s">
        <v>26</v>
      </c>
      <c r="G4" s="6" t="s">
        <v>27</v>
      </c>
      <c r="H4" s="2" t="s">
        <v>19</v>
      </c>
      <c r="I4" s="2" t="s">
        <v>20</v>
      </c>
      <c r="J4" s="7" t="n">
        <v>0.5</v>
      </c>
      <c r="K4" s="3" t="s">
        <v>21</v>
      </c>
      <c r="L4" s="3" t="s">
        <v>28</v>
      </c>
      <c r="M4" s="2" t="s">
        <v>23</v>
      </c>
      <c r="N4" s="6"/>
      <c r="O4" s="3"/>
    </row>
    <row r="5" customFormat="false" ht="15" hidden="false" customHeight="false" outlineLevel="0" collapsed="false">
      <c r="A5" s="8" t="n">
        <v>4</v>
      </c>
      <c r="B5" s="8" t="s">
        <v>15</v>
      </c>
      <c r="C5" s="9" t="s">
        <v>16</v>
      </c>
      <c r="D5" s="10" t="n">
        <v>46055</v>
      </c>
      <c r="E5" s="10" t="n">
        <v>46057</v>
      </c>
      <c r="F5" s="11" t="s">
        <v>29</v>
      </c>
      <c r="G5" s="12" t="s">
        <v>18</v>
      </c>
      <c r="H5" s="8" t="s">
        <v>19</v>
      </c>
      <c r="I5" s="8" t="s">
        <v>30</v>
      </c>
      <c r="J5" s="13" t="n">
        <v>0.5</v>
      </c>
      <c r="K5" s="9" t="s">
        <v>21</v>
      </c>
      <c r="L5" s="9" t="s">
        <v>31</v>
      </c>
      <c r="M5" s="8" t="s">
        <v>23</v>
      </c>
      <c r="N5" s="12"/>
      <c r="O5" s="9"/>
    </row>
    <row r="6" customFormat="false" ht="15" hidden="false" customHeight="false" outlineLevel="0" collapsed="false">
      <c r="A6" s="2" t="n">
        <v>5</v>
      </c>
      <c r="B6" s="2" t="s">
        <v>15</v>
      </c>
      <c r="C6" s="3" t="s">
        <v>16</v>
      </c>
      <c r="D6" s="4" t="n">
        <v>46055</v>
      </c>
      <c r="E6" s="4" t="n">
        <v>46058</v>
      </c>
      <c r="F6" s="5" t="s">
        <v>32</v>
      </c>
      <c r="G6" s="6" t="s">
        <v>27</v>
      </c>
      <c r="H6" s="2" t="s">
        <v>19</v>
      </c>
      <c r="I6" s="2" t="s">
        <v>30</v>
      </c>
      <c r="J6" s="7" t="n">
        <v>0.5</v>
      </c>
      <c r="K6" s="3" t="s">
        <v>21</v>
      </c>
      <c r="L6" s="3" t="s">
        <v>33</v>
      </c>
      <c r="M6" s="2" t="s">
        <v>23</v>
      </c>
      <c r="N6" s="6"/>
      <c r="O6" s="3"/>
    </row>
    <row r="7" customFormat="false" ht="23.85" hidden="false" customHeight="false" outlineLevel="0" collapsed="false">
      <c r="A7" s="8" t="n">
        <v>6</v>
      </c>
      <c r="B7" s="8" t="s">
        <v>15</v>
      </c>
      <c r="C7" s="9" t="s">
        <v>16</v>
      </c>
      <c r="D7" s="10" t="n">
        <v>46055</v>
      </c>
      <c r="E7" s="10" t="n">
        <v>46058</v>
      </c>
      <c r="F7" s="11" t="s">
        <v>34</v>
      </c>
      <c r="G7" s="12" t="s">
        <v>35</v>
      </c>
      <c r="H7" s="8" t="s">
        <v>36</v>
      </c>
      <c r="I7" s="8" t="s">
        <v>30</v>
      </c>
      <c r="J7" s="13" t="n">
        <v>3</v>
      </c>
      <c r="K7" s="9" t="s">
        <v>37</v>
      </c>
      <c r="L7" s="9" t="s">
        <v>38</v>
      </c>
      <c r="M7" s="8" t="s">
        <v>23</v>
      </c>
      <c r="N7" s="12"/>
      <c r="O7" s="9"/>
    </row>
    <row r="8" customFormat="false" ht="23.85" hidden="false" customHeight="false" outlineLevel="0" collapsed="false">
      <c r="A8" s="2" t="n">
        <v>7</v>
      </c>
      <c r="B8" s="2" t="s">
        <v>15</v>
      </c>
      <c r="C8" s="3" t="s">
        <v>16</v>
      </c>
      <c r="D8" s="4" t="n">
        <v>46055</v>
      </c>
      <c r="E8" s="4" t="n">
        <v>46059</v>
      </c>
      <c r="F8" s="5" t="s">
        <v>39</v>
      </c>
      <c r="G8" s="6" t="s">
        <v>35</v>
      </c>
      <c r="H8" s="2" t="s">
        <v>19</v>
      </c>
      <c r="I8" s="2" t="s">
        <v>30</v>
      </c>
      <c r="J8" s="7" t="n">
        <v>1.5</v>
      </c>
      <c r="K8" s="3" t="s">
        <v>40</v>
      </c>
      <c r="L8" s="3" t="s">
        <v>41</v>
      </c>
      <c r="M8" s="2" t="s">
        <v>23</v>
      </c>
      <c r="N8" s="6"/>
      <c r="O8" s="3"/>
    </row>
    <row r="9" customFormat="false" ht="15" hidden="false" customHeight="false" outlineLevel="0" collapsed="false">
      <c r="A9" s="8" t="n">
        <v>8</v>
      </c>
      <c r="B9" s="8" t="s">
        <v>15</v>
      </c>
      <c r="C9" s="9" t="s">
        <v>16</v>
      </c>
      <c r="D9" s="10" t="n">
        <v>46055</v>
      </c>
      <c r="E9" s="10" t="n">
        <v>46059</v>
      </c>
      <c r="F9" s="11" t="s">
        <v>42</v>
      </c>
      <c r="G9" s="12" t="s">
        <v>35</v>
      </c>
      <c r="H9" s="8" t="s">
        <v>19</v>
      </c>
      <c r="I9" s="8" t="s">
        <v>43</v>
      </c>
      <c r="J9" s="13" t="n">
        <v>1</v>
      </c>
      <c r="K9" s="9" t="s">
        <v>44</v>
      </c>
      <c r="L9" s="9" t="s">
        <v>45</v>
      </c>
      <c r="M9" s="8" t="s">
        <v>23</v>
      </c>
      <c r="N9" s="12"/>
      <c r="O9" s="9"/>
    </row>
    <row r="10" customFormat="false" ht="23.85" hidden="false" customHeight="false" outlineLevel="0" collapsed="false">
      <c r="A10" s="2" t="n">
        <v>9</v>
      </c>
      <c r="B10" s="2" t="s">
        <v>15</v>
      </c>
      <c r="C10" s="3" t="s">
        <v>16</v>
      </c>
      <c r="D10" s="4" t="n">
        <v>46055</v>
      </c>
      <c r="E10" s="4" t="n">
        <v>46062</v>
      </c>
      <c r="F10" s="5" t="s">
        <v>46</v>
      </c>
      <c r="G10" s="6" t="s">
        <v>35</v>
      </c>
      <c r="H10" s="2" t="s">
        <v>36</v>
      </c>
      <c r="I10" s="2" t="s">
        <v>30</v>
      </c>
      <c r="J10" s="7" t="n">
        <v>1.5</v>
      </c>
      <c r="K10" s="3" t="s">
        <v>47</v>
      </c>
      <c r="L10" s="3" t="s">
        <v>48</v>
      </c>
      <c r="M10" s="2" t="s">
        <v>23</v>
      </c>
      <c r="N10" s="6"/>
      <c r="O10" s="3"/>
    </row>
    <row r="11" customFormat="false" ht="23.85" hidden="false" customHeight="false" outlineLevel="0" collapsed="false">
      <c r="A11" s="8" t="n">
        <v>10</v>
      </c>
      <c r="B11" s="8" t="s">
        <v>15</v>
      </c>
      <c r="C11" s="9" t="s">
        <v>16</v>
      </c>
      <c r="D11" s="10" t="n">
        <v>46055</v>
      </c>
      <c r="E11" s="10" t="n">
        <v>46062</v>
      </c>
      <c r="F11" s="11" t="s">
        <v>49</v>
      </c>
      <c r="G11" s="12" t="s">
        <v>18</v>
      </c>
      <c r="H11" s="8" t="s">
        <v>19</v>
      </c>
      <c r="I11" s="8" t="s">
        <v>30</v>
      </c>
      <c r="J11" s="13" t="n">
        <v>1</v>
      </c>
      <c r="K11" s="9" t="s">
        <v>50</v>
      </c>
      <c r="L11" s="9" t="s">
        <v>51</v>
      </c>
      <c r="M11" s="8" t="s">
        <v>23</v>
      </c>
      <c r="N11" s="12"/>
      <c r="O11" s="9"/>
    </row>
    <row r="12" customFormat="false" ht="23.85" hidden="false" customHeight="false" outlineLevel="0" collapsed="false">
      <c r="A12" s="2" t="n">
        <v>11</v>
      </c>
      <c r="B12" s="2" t="s">
        <v>15</v>
      </c>
      <c r="C12" s="3" t="s">
        <v>16</v>
      </c>
      <c r="D12" s="4" t="n">
        <v>46055</v>
      </c>
      <c r="E12" s="4" t="n">
        <v>46063</v>
      </c>
      <c r="F12" s="5" t="s">
        <v>52</v>
      </c>
      <c r="G12" s="6" t="s">
        <v>27</v>
      </c>
      <c r="H12" s="2" t="s">
        <v>53</v>
      </c>
      <c r="I12" s="2" t="s">
        <v>30</v>
      </c>
      <c r="J12" s="7" t="n">
        <v>2</v>
      </c>
      <c r="K12" s="3" t="s">
        <v>54</v>
      </c>
      <c r="L12" s="3" t="s">
        <v>55</v>
      </c>
      <c r="M12" s="2" t="s">
        <v>23</v>
      </c>
      <c r="N12" s="6"/>
      <c r="O12" s="3"/>
    </row>
    <row r="13" customFormat="false" ht="15" hidden="false" customHeight="false" outlineLevel="0" collapsed="false">
      <c r="A13" s="8" t="n">
        <v>12</v>
      </c>
      <c r="B13" s="8" t="s">
        <v>15</v>
      </c>
      <c r="C13" s="9" t="s">
        <v>16</v>
      </c>
      <c r="D13" s="10" t="n">
        <v>46055</v>
      </c>
      <c r="E13" s="10" t="n">
        <v>46063</v>
      </c>
      <c r="F13" s="11" t="s">
        <v>56</v>
      </c>
      <c r="G13" s="12" t="s">
        <v>27</v>
      </c>
      <c r="H13" s="8" t="s">
        <v>53</v>
      </c>
      <c r="I13" s="8" t="s">
        <v>30</v>
      </c>
      <c r="J13" s="13" t="n">
        <v>2</v>
      </c>
      <c r="K13" s="9" t="s">
        <v>57</v>
      </c>
      <c r="L13" s="9" t="s">
        <v>58</v>
      </c>
      <c r="M13" s="8" t="s">
        <v>23</v>
      </c>
      <c r="N13" s="12"/>
      <c r="O13" s="9"/>
    </row>
    <row r="14" customFormat="false" ht="23.85" hidden="false" customHeight="false" outlineLevel="0" collapsed="false">
      <c r="A14" s="2" t="n">
        <v>13</v>
      </c>
      <c r="B14" s="2" t="s">
        <v>15</v>
      </c>
      <c r="C14" s="3" t="s">
        <v>16</v>
      </c>
      <c r="D14" s="4" t="n">
        <v>46055</v>
      </c>
      <c r="E14" s="4" t="n">
        <v>46064</v>
      </c>
      <c r="F14" s="5" t="s">
        <v>59</v>
      </c>
      <c r="G14" s="6" t="s">
        <v>27</v>
      </c>
      <c r="H14" s="2" t="s">
        <v>53</v>
      </c>
      <c r="I14" s="2" t="s">
        <v>30</v>
      </c>
      <c r="J14" s="7" t="n">
        <v>2</v>
      </c>
      <c r="K14" s="3" t="s">
        <v>57</v>
      </c>
      <c r="L14" s="3" t="s">
        <v>60</v>
      </c>
      <c r="M14" s="2" t="s">
        <v>23</v>
      </c>
      <c r="N14" s="6"/>
      <c r="O14" s="3"/>
    </row>
    <row r="15" customFormat="false" ht="23.85" hidden="false" customHeight="false" outlineLevel="0" collapsed="false">
      <c r="A15" s="8" t="n">
        <v>14</v>
      </c>
      <c r="B15" s="8" t="s">
        <v>15</v>
      </c>
      <c r="C15" s="9" t="s">
        <v>16</v>
      </c>
      <c r="D15" s="10" t="n">
        <v>46055</v>
      </c>
      <c r="E15" s="10" t="n">
        <v>46064</v>
      </c>
      <c r="F15" s="11" t="s">
        <v>61</v>
      </c>
      <c r="G15" s="12" t="s">
        <v>35</v>
      </c>
      <c r="H15" s="8" t="s">
        <v>53</v>
      </c>
      <c r="I15" s="8" t="s">
        <v>43</v>
      </c>
      <c r="J15" s="13" t="n">
        <v>4</v>
      </c>
      <c r="K15" s="9" t="s">
        <v>62</v>
      </c>
      <c r="L15" s="9" t="s">
        <v>63</v>
      </c>
      <c r="M15" s="8" t="s">
        <v>23</v>
      </c>
      <c r="N15" s="12"/>
      <c r="O15" s="9"/>
    </row>
    <row r="16" customFormat="false" ht="23.85" hidden="false" customHeight="false" outlineLevel="0" collapsed="false">
      <c r="A16" s="2" t="n">
        <v>15</v>
      </c>
      <c r="B16" s="2" t="s">
        <v>15</v>
      </c>
      <c r="C16" s="3" t="s">
        <v>16</v>
      </c>
      <c r="D16" s="4" t="n">
        <v>46055</v>
      </c>
      <c r="E16" s="4" t="n">
        <v>46065</v>
      </c>
      <c r="F16" s="5" t="s">
        <v>64</v>
      </c>
      <c r="G16" s="6" t="s">
        <v>18</v>
      </c>
      <c r="H16" s="2" t="s">
        <v>53</v>
      </c>
      <c r="I16" s="2" t="s">
        <v>43</v>
      </c>
      <c r="J16" s="7" t="n">
        <v>2</v>
      </c>
      <c r="K16" s="3" t="s">
        <v>65</v>
      </c>
      <c r="L16" s="3" t="s">
        <v>66</v>
      </c>
      <c r="M16" s="2" t="s">
        <v>23</v>
      </c>
      <c r="N16" s="6"/>
      <c r="O16" s="3"/>
    </row>
    <row r="17" customFormat="false" ht="23.85" hidden="false" customHeight="false" outlineLevel="0" collapsed="false">
      <c r="A17" s="8" t="n">
        <v>16</v>
      </c>
      <c r="B17" s="8" t="s">
        <v>15</v>
      </c>
      <c r="C17" s="9" t="s">
        <v>16</v>
      </c>
      <c r="D17" s="10" t="n">
        <v>46055</v>
      </c>
      <c r="E17" s="10" t="n">
        <v>46065</v>
      </c>
      <c r="F17" s="11" t="s">
        <v>67</v>
      </c>
      <c r="G17" s="12" t="s">
        <v>18</v>
      </c>
      <c r="H17" s="8" t="s">
        <v>53</v>
      </c>
      <c r="I17" s="8" t="s">
        <v>43</v>
      </c>
      <c r="J17" s="13" t="n">
        <v>6</v>
      </c>
      <c r="K17" s="9" t="s">
        <v>68</v>
      </c>
      <c r="L17" s="9" t="s">
        <v>69</v>
      </c>
      <c r="M17" s="8" t="s">
        <v>23</v>
      </c>
      <c r="N17" s="12"/>
      <c r="O17" s="9"/>
    </row>
    <row r="18" customFormat="false" ht="15" hidden="false" customHeight="false" outlineLevel="0" collapsed="false">
      <c r="A18" s="2" t="n">
        <v>17</v>
      </c>
      <c r="B18" s="2" t="s">
        <v>15</v>
      </c>
      <c r="C18" s="3" t="s">
        <v>16</v>
      </c>
      <c r="D18" s="4" t="n">
        <v>46055</v>
      </c>
      <c r="E18" s="4" t="n">
        <v>46066</v>
      </c>
      <c r="F18" s="5" t="s">
        <v>70</v>
      </c>
      <c r="G18" s="6" t="s">
        <v>71</v>
      </c>
      <c r="H18" s="2" t="s">
        <v>72</v>
      </c>
      <c r="I18" s="2" t="s">
        <v>43</v>
      </c>
      <c r="J18" s="7" t="n">
        <v>1</v>
      </c>
      <c r="K18" s="3" t="s">
        <v>73</v>
      </c>
      <c r="L18" s="3" t="s">
        <v>74</v>
      </c>
      <c r="M18" s="2" t="s">
        <v>23</v>
      </c>
      <c r="N18" s="6"/>
      <c r="O18" s="3"/>
    </row>
    <row r="19" customFormat="false" ht="15" hidden="false" customHeight="false" outlineLevel="0" collapsed="false">
      <c r="A19" s="8" t="n">
        <v>18</v>
      </c>
      <c r="B19" s="8" t="s">
        <v>75</v>
      </c>
      <c r="C19" s="9" t="s">
        <v>76</v>
      </c>
      <c r="D19" s="10" t="n">
        <v>46069</v>
      </c>
      <c r="E19" s="10" t="n">
        <v>46069</v>
      </c>
      <c r="F19" s="11" t="s">
        <v>77</v>
      </c>
      <c r="G19" s="12" t="s">
        <v>35</v>
      </c>
      <c r="H19" s="8" t="s">
        <v>19</v>
      </c>
      <c r="I19" s="8" t="s">
        <v>43</v>
      </c>
      <c r="J19" s="13" t="n">
        <v>0.5</v>
      </c>
      <c r="K19" s="9" t="s">
        <v>78</v>
      </c>
      <c r="L19" s="9" t="s">
        <v>79</v>
      </c>
      <c r="M19" s="8" t="s">
        <v>23</v>
      </c>
      <c r="N19" s="12"/>
      <c r="O19" s="9"/>
    </row>
    <row r="20" customFormat="false" ht="23.85" hidden="false" customHeight="false" outlineLevel="0" collapsed="false">
      <c r="A20" s="2" t="n">
        <v>19</v>
      </c>
      <c r="B20" s="2" t="s">
        <v>75</v>
      </c>
      <c r="C20" s="3" t="s">
        <v>76</v>
      </c>
      <c r="D20" s="4" t="n">
        <v>46069</v>
      </c>
      <c r="E20" s="4" t="n">
        <v>46070</v>
      </c>
      <c r="F20" s="5" t="s">
        <v>80</v>
      </c>
      <c r="G20" s="6" t="s">
        <v>35</v>
      </c>
      <c r="H20" s="2" t="s">
        <v>53</v>
      </c>
      <c r="I20" s="2" t="s">
        <v>30</v>
      </c>
      <c r="J20" s="7" t="n">
        <v>3</v>
      </c>
      <c r="K20" s="3" t="s">
        <v>78</v>
      </c>
      <c r="L20" s="3" t="s">
        <v>81</v>
      </c>
      <c r="M20" s="2" t="s">
        <v>23</v>
      </c>
      <c r="N20" s="6"/>
      <c r="O20" s="3"/>
    </row>
    <row r="21" customFormat="false" ht="23.85" hidden="false" customHeight="false" outlineLevel="0" collapsed="false">
      <c r="A21" s="8" t="n">
        <v>20</v>
      </c>
      <c r="B21" s="8" t="s">
        <v>75</v>
      </c>
      <c r="C21" s="9" t="s">
        <v>76</v>
      </c>
      <c r="D21" s="10" t="n">
        <v>46069</v>
      </c>
      <c r="E21" s="10" t="n">
        <v>46070</v>
      </c>
      <c r="F21" s="11" t="s">
        <v>82</v>
      </c>
      <c r="G21" s="12" t="s">
        <v>83</v>
      </c>
      <c r="H21" s="8" t="s">
        <v>53</v>
      </c>
      <c r="I21" s="8" t="s">
        <v>30</v>
      </c>
      <c r="J21" s="13" t="n">
        <v>3</v>
      </c>
      <c r="K21" s="9" t="s">
        <v>84</v>
      </c>
      <c r="L21" s="9" t="s">
        <v>85</v>
      </c>
      <c r="M21" s="8" t="s">
        <v>23</v>
      </c>
      <c r="N21" s="12"/>
      <c r="O21" s="9"/>
    </row>
    <row r="22" customFormat="false" ht="23.85" hidden="false" customHeight="false" outlineLevel="0" collapsed="false">
      <c r="A22" s="2" t="n">
        <v>21</v>
      </c>
      <c r="B22" s="2" t="s">
        <v>75</v>
      </c>
      <c r="C22" s="3" t="s">
        <v>76</v>
      </c>
      <c r="D22" s="4" t="n">
        <v>46069</v>
      </c>
      <c r="E22" s="4" t="n">
        <v>46071</v>
      </c>
      <c r="F22" s="5" t="s">
        <v>86</v>
      </c>
      <c r="G22" s="6" t="s">
        <v>35</v>
      </c>
      <c r="H22" s="2" t="s">
        <v>19</v>
      </c>
      <c r="I22" s="2" t="s">
        <v>20</v>
      </c>
      <c r="J22" s="7" t="n">
        <v>2</v>
      </c>
      <c r="K22" s="3" t="s">
        <v>87</v>
      </c>
      <c r="L22" s="3" t="s">
        <v>88</v>
      </c>
      <c r="M22" s="2" t="s">
        <v>23</v>
      </c>
      <c r="N22" s="6"/>
      <c r="O22" s="3"/>
    </row>
    <row r="23" customFormat="false" ht="15" hidden="false" customHeight="false" outlineLevel="0" collapsed="false">
      <c r="A23" s="8" t="n">
        <v>22</v>
      </c>
      <c r="B23" s="8" t="s">
        <v>75</v>
      </c>
      <c r="C23" s="9" t="s">
        <v>76</v>
      </c>
      <c r="D23" s="10" t="n">
        <v>46069</v>
      </c>
      <c r="E23" s="10" t="n">
        <v>46071</v>
      </c>
      <c r="F23" s="11" t="s">
        <v>89</v>
      </c>
      <c r="G23" s="12" t="s">
        <v>35</v>
      </c>
      <c r="H23" s="8" t="s">
        <v>19</v>
      </c>
      <c r="I23" s="8" t="s">
        <v>30</v>
      </c>
      <c r="J23" s="13" t="n">
        <v>1</v>
      </c>
      <c r="K23" s="9" t="s">
        <v>90</v>
      </c>
      <c r="L23" s="9" t="s">
        <v>91</v>
      </c>
      <c r="M23" s="8" t="s">
        <v>23</v>
      </c>
      <c r="N23" s="12"/>
      <c r="O23" s="9"/>
    </row>
    <row r="24" customFormat="false" ht="15" hidden="false" customHeight="false" outlineLevel="0" collapsed="false">
      <c r="A24" s="2" t="n">
        <v>23</v>
      </c>
      <c r="B24" s="2" t="s">
        <v>75</v>
      </c>
      <c r="C24" s="3" t="s">
        <v>76</v>
      </c>
      <c r="D24" s="4" t="n">
        <v>46069</v>
      </c>
      <c r="E24" s="4" t="n">
        <v>46072</v>
      </c>
      <c r="F24" s="5" t="s">
        <v>92</v>
      </c>
      <c r="G24" s="6" t="s">
        <v>35</v>
      </c>
      <c r="H24" s="2" t="s">
        <v>19</v>
      </c>
      <c r="I24" s="2" t="s">
        <v>43</v>
      </c>
      <c r="J24" s="7" t="n">
        <v>0.5</v>
      </c>
      <c r="K24" s="3" t="s">
        <v>57</v>
      </c>
      <c r="L24" s="3" t="s">
        <v>93</v>
      </c>
      <c r="M24" s="2" t="s">
        <v>23</v>
      </c>
      <c r="N24" s="6"/>
      <c r="O24" s="3"/>
    </row>
    <row r="25" customFormat="false" ht="15" hidden="false" customHeight="false" outlineLevel="0" collapsed="false">
      <c r="A25" s="8" t="n">
        <v>24</v>
      </c>
      <c r="B25" s="8" t="s">
        <v>75</v>
      </c>
      <c r="C25" s="9" t="s">
        <v>76</v>
      </c>
      <c r="D25" s="10" t="n">
        <v>46069</v>
      </c>
      <c r="E25" s="10" t="n">
        <v>46072</v>
      </c>
      <c r="F25" s="11" t="s">
        <v>94</v>
      </c>
      <c r="G25" s="12" t="s">
        <v>27</v>
      </c>
      <c r="H25" s="8" t="s">
        <v>53</v>
      </c>
      <c r="I25" s="8" t="s">
        <v>43</v>
      </c>
      <c r="J25" s="13" t="n">
        <v>1</v>
      </c>
      <c r="K25" s="9" t="s">
        <v>90</v>
      </c>
      <c r="L25" s="9" t="s">
        <v>95</v>
      </c>
      <c r="M25" s="8" t="s">
        <v>23</v>
      </c>
      <c r="N25" s="12"/>
      <c r="O25" s="9"/>
    </row>
    <row r="26" customFormat="false" ht="15" hidden="false" customHeight="false" outlineLevel="0" collapsed="false">
      <c r="A26" s="2" t="n">
        <v>25</v>
      </c>
      <c r="B26" s="2" t="s">
        <v>75</v>
      </c>
      <c r="C26" s="3" t="s">
        <v>76</v>
      </c>
      <c r="D26" s="4" t="n">
        <v>46069</v>
      </c>
      <c r="E26" s="4" t="n">
        <v>46073</v>
      </c>
      <c r="F26" s="5" t="s">
        <v>96</v>
      </c>
      <c r="G26" s="6" t="s">
        <v>35</v>
      </c>
      <c r="H26" s="2" t="s">
        <v>19</v>
      </c>
      <c r="I26" s="2" t="s">
        <v>30</v>
      </c>
      <c r="J26" s="7" t="n">
        <v>1.5</v>
      </c>
      <c r="K26" s="3" t="s">
        <v>78</v>
      </c>
      <c r="L26" s="3" t="s">
        <v>97</v>
      </c>
      <c r="M26" s="2" t="s">
        <v>23</v>
      </c>
      <c r="N26" s="6"/>
      <c r="O26" s="3"/>
    </row>
    <row r="27" customFormat="false" ht="15" hidden="false" customHeight="false" outlineLevel="0" collapsed="false">
      <c r="A27" s="8" t="n">
        <v>26</v>
      </c>
      <c r="B27" s="8" t="s">
        <v>75</v>
      </c>
      <c r="C27" s="9" t="s">
        <v>76</v>
      </c>
      <c r="D27" s="10" t="n">
        <v>46069</v>
      </c>
      <c r="E27" s="10" t="n">
        <v>46073</v>
      </c>
      <c r="F27" s="11" t="s">
        <v>98</v>
      </c>
      <c r="G27" s="12" t="s">
        <v>35</v>
      </c>
      <c r="H27" s="8" t="s">
        <v>53</v>
      </c>
      <c r="I27" s="8" t="s">
        <v>43</v>
      </c>
      <c r="J27" s="13" t="n">
        <v>2</v>
      </c>
      <c r="K27" s="9" t="s">
        <v>78</v>
      </c>
      <c r="L27" s="9" t="s">
        <v>99</v>
      </c>
      <c r="M27" s="8" t="s">
        <v>23</v>
      </c>
      <c r="N27" s="12"/>
      <c r="O27" s="9"/>
    </row>
    <row r="28" customFormat="false" ht="23.85" hidden="false" customHeight="false" outlineLevel="0" collapsed="false">
      <c r="A28" s="2" t="n">
        <v>27</v>
      </c>
      <c r="B28" s="2" t="s">
        <v>75</v>
      </c>
      <c r="C28" s="3" t="s">
        <v>76</v>
      </c>
      <c r="D28" s="4" t="n">
        <v>46069</v>
      </c>
      <c r="E28" s="4" t="n">
        <v>46073</v>
      </c>
      <c r="F28" s="5" t="s">
        <v>100</v>
      </c>
      <c r="G28" s="6" t="s">
        <v>35</v>
      </c>
      <c r="H28" s="2" t="s">
        <v>19</v>
      </c>
      <c r="I28" s="2" t="s">
        <v>30</v>
      </c>
      <c r="J28" s="7" t="n">
        <v>1</v>
      </c>
      <c r="K28" s="3" t="s">
        <v>101</v>
      </c>
      <c r="L28" s="3" t="s">
        <v>102</v>
      </c>
      <c r="M28" s="2" t="s">
        <v>23</v>
      </c>
      <c r="N28" s="6"/>
      <c r="O28" s="3"/>
    </row>
    <row r="29" customFormat="false" ht="23.85" hidden="false" customHeight="false" outlineLevel="0" collapsed="false">
      <c r="A29" s="8" t="n">
        <v>28</v>
      </c>
      <c r="B29" s="8" t="s">
        <v>75</v>
      </c>
      <c r="C29" s="9" t="s">
        <v>76</v>
      </c>
      <c r="D29" s="10" t="n">
        <v>46069</v>
      </c>
      <c r="E29" s="10" t="n">
        <v>46076</v>
      </c>
      <c r="F29" s="11" t="s">
        <v>103</v>
      </c>
      <c r="G29" s="12" t="s">
        <v>35</v>
      </c>
      <c r="H29" s="8" t="s">
        <v>53</v>
      </c>
      <c r="I29" s="8" t="s">
        <v>30</v>
      </c>
      <c r="J29" s="13" t="n">
        <v>3</v>
      </c>
      <c r="K29" s="9" t="s">
        <v>101</v>
      </c>
      <c r="L29" s="9" t="s">
        <v>104</v>
      </c>
      <c r="M29" s="8" t="s">
        <v>23</v>
      </c>
      <c r="N29" s="12"/>
      <c r="O29" s="9"/>
    </row>
    <row r="30" customFormat="false" ht="23.85" hidden="false" customHeight="false" outlineLevel="0" collapsed="false">
      <c r="A30" s="2" t="n">
        <v>29</v>
      </c>
      <c r="B30" s="2" t="s">
        <v>75</v>
      </c>
      <c r="C30" s="3" t="s">
        <v>76</v>
      </c>
      <c r="D30" s="4" t="n">
        <v>46069</v>
      </c>
      <c r="E30" s="4" t="n">
        <v>46076</v>
      </c>
      <c r="F30" s="5" t="s">
        <v>105</v>
      </c>
      <c r="G30" s="6" t="s">
        <v>35</v>
      </c>
      <c r="H30" s="2" t="s">
        <v>19</v>
      </c>
      <c r="I30" s="2" t="s">
        <v>30</v>
      </c>
      <c r="J30" s="7" t="n">
        <v>1.5</v>
      </c>
      <c r="K30" s="3" t="s">
        <v>78</v>
      </c>
      <c r="L30" s="3" t="s">
        <v>106</v>
      </c>
      <c r="M30" s="2" t="s">
        <v>23</v>
      </c>
      <c r="N30" s="6"/>
      <c r="O30" s="3"/>
    </row>
    <row r="31" customFormat="false" ht="23.85" hidden="false" customHeight="false" outlineLevel="0" collapsed="false">
      <c r="A31" s="8" t="n">
        <v>30</v>
      </c>
      <c r="B31" s="8" t="s">
        <v>75</v>
      </c>
      <c r="C31" s="9" t="s">
        <v>76</v>
      </c>
      <c r="D31" s="10" t="n">
        <v>46069</v>
      </c>
      <c r="E31" s="10" t="n">
        <v>46077</v>
      </c>
      <c r="F31" s="11" t="s">
        <v>107</v>
      </c>
      <c r="G31" s="12" t="s">
        <v>35</v>
      </c>
      <c r="H31" s="8" t="s">
        <v>36</v>
      </c>
      <c r="I31" s="8" t="s">
        <v>30</v>
      </c>
      <c r="J31" s="13" t="n">
        <v>3</v>
      </c>
      <c r="K31" s="9" t="s">
        <v>108</v>
      </c>
      <c r="L31" s="9" t="s">
        <v>109</v>
      </c>
      <c r="M31" s="8" t="s">
        <v>23</v>
      </c>
      <c r="N31" s="12"/>
      <c r="O31" s="9"/>
    </row>
    <row r="32" customFormat="false" ht="15" hidden="false" customHeight="false" outlineLevel="0" collapsed="false">
      <c r="A32" s="2" t="n">
        <v>31</v>
      </c>
      <c r="B32" s="2" t="s">
        <v>75</v>
      </c>
      <c r="C32" s="3" t="s">
        <v>76</v>
      </c>
      <c r="D32" s="4" t="n">
        <v>46069</v>
      </c>
      <c r="E32" s="4" t="n">
        <v>46077</v>
      </c>
      <c r="F32" s="5" t="s">
        <v>110</v>
      </c>
      <c r="G32" s="6" t="s">
        <v>35</v>
      </c>
      <c r="H32" s="2" t="s">
        <v>19</v>
      </c>
      <c r="I32" s="2" t="s">
        <v>43</v>
      </c>
      <c r="J32" s="7" t="n">
        <v>1</v>
      </c>
      <c r="K32" s="3" t="s">
        <v>111</v>
      </c>
      <c r="L32" s="3" t="s">
        <v>112</v>
      </c>
      <c r="M32" s="2" t="s">
        <v>23</v>
      </c>
      <c r="N32" s="6"/>
      <c r="O32" s="3"/>
    </row>
    <row r="33" customFormat="false" ht="23.85" hidden="false" customHeight="false" outlineLevel="0" collapsed="false">
      <c r="A33" s="8" t="n">
        <v>32</v>
      </c>
      <c r="B33" s="8" t="s">
        <v>75</v>
      </c>
      <c r="C33" s="9" t="s">
        <v>76</v>
      </c>
      <c r="D33" s="10" t="n">
        <v>46069</v>
      </c>
      <c r="E33" s="10" t="n">
        <v>46078</v>
      </c>
      <c r="F33" s="11" t="s">
        <v>113</v>
      </c>
      <c r="G33" s="12" t="s">
        <v>35</v>
      </c>
      <c r="H33" s="8" t="s">
        <v>53</v>
      </c>
      <c r="I33" s="8" t="s">
        <v>43</v>
      </c>
      <c r="J33" s="13" t="n">
        <v>2</v>
      </c>
      <c r="K33" s="9" t="s">
        <v>114</v>
      </c>
      <c r="L33" s="9" t="s">
        <v>115</v>
      </c>
      <c r="M33" s="8" t="s">
        <v>23</v>
      </c>
      <c r="N33" s="12"/>
      <c r="O33" s="9"/>
    </row>
    <row r="34" customFormat="false" ht="15" hidden="false" customHeight="false" outlineLevel="0" collapsed="false">
      <c r="A34" s="2" t="n">
        <v>33</v>
      </c>
      <c r="B34" s="2" t="s">
        <v>75</v>
      </c>
      <c r="C34" s="3" t="s">
        <v>76</v>
      </c>
      <c r="D34" s="4" t="n">
        <v>46069</v>
      </c>
      <c r="E34" s="4" t="n">
        <v>46078</v>
      </c>
      <c r="F34" s="5" t="s">
        <v>116</v>
      </c>
      <c r="G34" s="6" t="s">
        <v>35</v>
      </c>
      <c r="H34" s="2" t="s">
        <v>53</v>
      </c>
      <c r="I34" s="2" t="s">
        <v>43</v>
      </c>
      <c r="J34" s="7" t="n">
        <v>3</v>
      </c>
      <c r="K34" s="3" t="s">
        <v>78</v>
      </c>
      <c r="L34" s="3" t="s">
        <v>117</v>
      </c>
      <c r="M34" s="2" t="s">
        <v>23</v>
      </c>
      <c r="N34" s="6"/>
      <c r="O34" s="3"/>
    </row>
    <row r="35" customFormat="false" ht="23.85" hidden="false" customHeight="false" outlineLevel="0" collapsed="false">
      <c r="A35" s="8" t="n">
        <v>34</v>
      </c>
      <c r="B35" s="8" t="s">
        <v>75</v>
      </c>
      <c r="C35" s="9" t="s">
        <v>76</v>
      </c>
      <c r="D35" s="10" t="n">
        <v>46069</v>
      </c>
      <c r="E35" s="10" t="n">
        <v>46079</v>
      </c>
      <c r="F35" s="11" t="s">
        <v>118</v>
      </c>
      <c r="G35" s="12" t="s">
        <v>53</v>
      </c>
      <c r="H35" s="8" t="s">
        <v>53</v>
      </c>
      <c r="I35" s="8" t="s">
        <v>43</v>
      </c>
      <c r="J35" s="13" t="n">
        <v>6</v>
      </c>
      <c r="K35" s="9" t="s">
        <v>119</v>
      </c>
      <c r="L35" s="9" t="s">
        <v>120</v>
      </c>
      <c r="M35" s="8" t="s">
        <v>23</v>
      </c>
      <c r="N35" s="12"/>
      <c r="O35" s="9"/>
    </row>
    <row r="36" customFormat="false" ht="15" hidden="false" customHeight="false" outlineLevel="0" collapsed="false">
      <c r="A36" s="2" t="n">
        <v>35</v>
      </c>
      <c r="B36" s="2" t="s">
        <v>75</v>
      </c>
      <c r="C36" s="3" t="s">
        <v>76</v>
      </c>
      <c r="D36" s="4" t="n">
        <v>46069</v>
      </c>
      <c r="E36" s="4" t="n">
        <v>46079</v>
      </c>
      <c r="F36" s="5" t="s">
        <v>121</v>
      </c>
      <c r="G36" s="6" t="s">
        <v>122</v>
      </c>
      <c r="H36" s="2" t="s">
        <v>53</v>
      </c>
      <c r="I36" s="2" t="s">
        <v>123</v>
      </c>
      <c r="J36" s="7" t="n">
        <v>3</v>
      </c>
      <c r="K36" s="3" t="s">
        <v>124</v>
      </c>
      <c r="L36" s="3" t="s">
        <v>125</v>
      </c>
      <c r="M36" s="2" t="s">
        <v>23</v>
      </c>
      <c r="N36" s="6"/>
      <c r="O36" s="3"/>
    </row>
    <row r="37" customFormat="false" ht="15" hidden="false" customHeight="false" outlineLevel="0" collapsed="false">
      <c r="A37" s="8" t="n">
        <v>36</v>
      </c>
      <c r="B37" s="8" t="s">
        <v>75</v>
      </c>
      <c r="C37" s="9" t="s">
        <v>76</v>
      </c>
      <c r="D37" s="10" t="n">
        <v>46069</v>
      </c>
      <c r="E37" s="10" t="n">
        <v>46080</v>
      </c>
      <c r="F37" s="11" t="s">
        <v>126</v>
      </c>
      <c r="G37" s="12" t="s">
        <v>35</v>
      </c>
      <c r="H37" s="8" t="s">
        <v>53</v>
      </c>
      <c r="I37" s="8" t="s">
        <v>43</v>
      </c>
      <c r="J37" s="13" t="n">
        <v>4</v>
      </c>
      <c r="K37" s="9" t="s">
        <v>90</v>
      </c>
      <c r="L37" s="9" t="s">
        <v>127</v>
      </c>
      <c r="M37" s="8" t="s">
        <v>23</v>
      </c>
      <c r="N37" s="12"/>
      <c r="O37" s="9"/>
    </row>
    <row r="38" customFormat="false" ht="23.85" hidden="false" customHeight="false" outlineLevel="0" collapsed="false">
      <c r="A38" s="2" t="n">
        <v>37</v>
      </c>
      <c r="B38" s="2" t="s">
        <v>75</v>
      </c>
      <c r="C38" s="3" t="s">
        <v>76</v>
      </c>
      <c r="D38" s="4" t="n">
        <v>46069</v>
      </c>
      <c r="E38" s="4" t="n">
        <v>46080</v>
      </c>
      <c r="F38" s="5" t="s">
        <v>128</v>
      </c>
      <c r="G38" s="6" t="s">
        <v>71</v>
      </c>
      <c r="H38" s="2" t="s">
        <v>53</v>
      </c>
      <c r="I38" s="2" t="s">
        <v>43</v>
      </c>
      <c r="J38" s="7" t="n">
        <v>3</v>
      </c>
      <c r="K38" s="3" t="s">
        <v>129</v>
      </c>
      <c r="L38" s="3" t="s">
        <v>130</v>
      </c>
      <c r="M38" s="2" t="s">
        <v>23</v>
      </c>
      <c r="N38" s="6"/>
      <c r="O38" s="3"/>
    </row>
    <row r="39" customFormat="false" ht="23.85" hidden="false" customHeight="false" outlineLevel="0" collapsed="false">
      <c r="A39" s="8" t="n">
        <v>38</v>
      </c>
      <c r="B39" s="8" t="s">
        <v>131</v>
      </c>
      <c r="C39" s="9" t="s">
        <v>132</v>
      </c>
      <c r="D39" s="10" t="n">
        <v>46083</v>
      </c>
      <c r="E39" s="10" t="n">
        <v>46083</v>
      </c>
      <c r="F39" s="11" t="s">
        <v>133</v>
      </c>
      <c r="G39" s="12" t="s">
        <v>27</v>
      </c>
      <c r="H39" s="8" t="s">
        <v>19</v>
      </c>
      <c r="I39" s="8" t="s">
        <v>20</v>
      </c>
      <c r="J39" s="13" t="n">
        <v>1.5</v>
      </c>
      <c r="K39" s="9" t="s">
        <v>134</v>
      </c>
      <c r="L39" s="9" t="s">
        <v>135</v>
      </c>
      <c r="M39" s="8" t="s">
        <v>23</v>
      </c>
      <c r="N39" s="12"/>
      <c r="O39" s="9"/>
    </row>
    <row r="40" customFormat="false" ht="23.85" hidden="false" customHeight="false" outlineLevel="0" collapsed="false">
      <c r="A40" s="2" t="n">
        <v>39</v>
      </c>
      <c r="B40" s="2" t="s">
        <v>131</v>
      </c>
      <c r="C40" s="3" t="s">
        <v>132</v>
      </c>
      <c r="D40" s="4" t="n">
        <v>46083</v>
      </c>
      <c r="E40" s="4" t="n">
        <v>46084</v>
      </c>
      <c r="F40" s="5" t="s">
        <v>136</v>
      </c>
      <c r="G40" s="6" t="s">
        <v>27</v>
      </c>
      <c r="H40" s="2" t="s">
        <v>19</v>
      </c>
      <c r="I40" s="2" t="s">
        <v>20</v>
      </c>
      <c r="J40" s="7" t="n">
        <v>2</v>
      </c>
      <c r="K40" s="3" t="s">
        <v>137</v>
      </c>
      <c r="L40" s="3" t="s">
        <v>138</v>
      </c>
      <c r="M40" s="2" t="s">
        <v>23</v>
      </c>
      <c r="N40" s="6"/>
      <c r="O40" s="3"/>
    </row>
    <row r="41" customFormat="false" ht="23.85" hidden="false" customHeight="false" outlineLevel="0" collapsed="false">
      <c r="A41" s="8" t="n">
        <v>40</v>
      </c>
      <c r="B41" s="8" t="s">
        <v>131</v>
      </c>
      <c r="C41" s="9" t="s">
        <v>132</v>
      </c>
      <c r="D41" s="10" t="n">
        <v>46083</v>
      </c>
      <c r="E41" s="10" t="n">
        <v>46085</v>
      </c>
      <c r="F41" s="11" t="s">
        <v>139</v>
      </c>
      <c r="G41" s="12" t="s">
        <v>140</v>
      </c>
      <c r="H41" s="8" t="s">
        <v>53</v>
      </c>
      <c r="I41" s="8" t="s">
        <v>20</v>
      </c>
      <c r="J41" s="13" t="n">
        <v>6</v>
      </c>
      <c r="K41" s="9" t="s">
        <v>141</v>
      </c>
      <c r="L41" s="9" t="s">
        <v>142</v>
      </c>
      <c r="M41" s="8" t="s">
        <v>23</v>
      </c>
      <c r="N41" s="12"/>
      <c r="O41" s="9"/>
    </row>
    <row r="42" customFormat="false" ht="23.85" hidden="false" customHeight="false" outlineLevel="0" collapsed="false">
      <c r="A42" s="2" t="n">
        <v>41</v>
      </c>
      <c r="B42" s="2" t="s">
        <v>131</v>
      </c>
      <c r="C42" s="3" t="s">
        <v>132</v>
      </c>
      <c r="D42" s="4" t="n">
        <v>46083</v>
      </c>
      <c r="E42" s="4" t="n">
        <v>46085</v>
      </c>
      <c r="F42" s="5" t="s">
        <v>143</v>
      </c>
      <c r="G42" s="6" t="s">
        <v>27</v>
      </c>
      <c r="H42" s="2" t="s">
        <v>19</v>
      </c>
      <c r="I42" s="2" t="s">
        <v>20</v>
      </c>
      <c r="J42" s="7" t="n">
        <v>1.5</v>
      </c>
      <c r="K42" s="3" t="s">
        <v>137</v>
      </c>
      <c r="L42" s="3" t="s">
        <v>144</v>
      </c>
      <c r="M42" s="2" t="s">
        <v>23</v>
      </c>
      <c r="N42" s="6"/>
      <c r="O42" s="3"/>
    </row>
    <row r="43" customFormat="false" ht="23.85" hidden="false" customHeight="false" outlineLevel="0" collapsed="false">
      <c r="A43" s="8" t="n">
        <v>42</v>
      </c>
      <c r="B43" s="8" t="s">
        <v>131</v>
      </c>
      <c r="C43" s="9" t="s">
        <v>132</v>
      </c>
      <c r="D43" s="10" t="n">
        <v>46083</v>
      </c>
      <c r="E43" s="10" t="n">
        <v>46085</v>
      </c>
      <c r="F43" s="11" t="s">
        <v>145</v>
      </c>
      <c r="G43" s="12" t="s">
        <v>35</v>
      </c>
      <c r="H43" s="8" t="s">
        <v>19</v>
      </c>
      <c r="I43" s="8" t="s">
        <v>30</v>
      </c>
      <c r="J43" s="13" t="n">
        <v>1</v>
      </c>
      <c r="K43" s="9" t="s">
        <v>137</v>
      </c>
      <c r="L43" s="9" t="s">
        <v>146</v>
      </c>
      <c r="M43" s="8" t="s">
        <v>23</v>
      </c>
      <c r="N43" s="12"/>
      <c r="O43" s="9"/>
    </row>
    <row r="44" customFormat="false" ht="23.85" hidden="false" customHeight="false" outlineLevel="0" collapsed="false">
      <c r="A44" s="2" t="n">
        <v>43</v>
      </c>
      <c r="B44" s="2" t="s">
        <v>131</v>
      </c>
      <c r="C44" s="3" t="s">
        <v>132</v>
      </c>
      <c r="D44" s="4" t="n">
        <v>46083</v>
      </c>
      <c r="E44" s="4" t="n">
        <v>46086</v>
      </c>
      <c r="F44" s="5" t="s">
        <v>147</v>
      </c>
      <c r="G44" s="6" t="s">
        <v>35</v>
      </c>
      <c r="H44" s="2" t="s">
        <v>19</v>
      </c>
      <c r="I44" s="2" t="s">
        <v>30</v>
      </c>
      <c r="J44" s="7" t="n">
        <v>1</v>
      </c>
      <c r="K44" s="3" t="s">
        <v>137</v>
      </c>
      <c r="L44" s="3" t="s">
        <v>148</v>
      </c>
      <c r="M44" s="2" t="s">
        <v>23</v>
      </c>
      <c r="N44" s="6"/>
      <c r="O44" s="3"/>
    </row>
    <row r="45" customFormat="false" ht="23.85" hidden="false" customHeight="false" outlineLevel="0" collapsed="false">
      <c r="A45" s="8" t="n">
        <v>44</v>
      </c>
      <c r="B45" s="8" t="s">
        <v>131</v>
      </c>
      <c r="C45" s="9" t="s">
        <v>132</v>
      </c>
      <c r="D45" s="10" t="n">
        <v>46083</v>
      </c>
      <c r="E45" s="10" t="n">
        <v>46087</v>
      </c>
      <c r="F45" s="11" t="s">
        <v>149</v>
      </c>
      <c r="G45" s="12" t="s">
        <v>35</v>
      </c>
      <c r="H45" s="8" t="s">
        <v>53</v>
      </c>
      <c r="I45" s="8" t="s">
        <v>20</v>
      </c>
      <c r="J45" s="13" t="n">
        <v>4</v>
      </c>
      <c r="K45" s="9" t="s">
        <v>137</v>
      </c>
      <c r="L45" s="9" t="s">
        <v>150</v>
      </c>
      <c r="M45" s="8" t="s">
        <v>23</v>
      </c>
      <c r="N45" s="12"/>
      <c r="O45" s="9"/>
    </row>
    <row r="46" customFormat="false" ht="23.85" hidden="false" customHeight="false" outlineLevel="0" collapsed="false">
      <c r="A46" s="2" t="n">
        <v>45</v>
      </c>
      <c r="B46" s="2" t="s">
        <v>131</v>
      </c>
      <c r="C46" s="3" t="s">
        <v>132</v>
      </c>
      <c r="D46" s="4" t="n">
        <v>46083</v>
      </c>
      <c r="E46" s="4" t="n">
        <v>46087</v>
      </c>
      <c r="F46" s="5" t="s">
        <v>151</v>
      </c>
      <c r="G46" s="6" t="s">
        <v>35</v>
      </c>
      <c r="H46" s="2" t="s">
        <v>53</v>
      </c>
      <c r="I46" s="2" t="s">
        <v>30</v>
      </c>
      <c r="J46" s="7" t="n">
        <v>3</v>
      </c>
      <c r="K46" s="3" t="s">
        <v>137</v>
      </c>
      <c r="L46" s="3" t="s">
        <v>152</v>
      </c>
      <c r="M46" s="2" t="s">
        <v>23</v>
      </c>
      <c r="N46" s="6"/>
      <c r="O46" s="3"/>
    </row>
    <row r="47" customFormat="false" ht="23.85" hidden="false" customHeight="false" outlineLevel="0" collapsed="false">
      <c r="A47" s="8" t="n">
        <v>46</v>
      </c>
      <c r="B47" s="8" t="s">
        <v>131</v>
      </c>
      <c r="C47" s="9" t="s">
        <v>132</v>
      </c>
      <c r="D47" s="10" t="n">
        <v>46083</v>
      </c>
      <c r="E47" s="10" t="n">
        <v>46087</v>
      </c>
      <c r="F47" s="11" t="s">
        <v>153</v>
      </c>
      <c r="G47" s="12" t="s">
        <v>35</v>
      </c>
      <c r="H47" s="8" t="s">
        <v>36</v>
      </c>
      <c r="I47" s="8" t="s">
        <v>43</v>
      </c>
      <c r="J47" s="13" t="n">
        <v>2</v>
      </c>
      <c r="K47" s="9" t="s">
        <v>154</v>
      </c>
      <c r="L47" s="9" t="s">
        <v>155</v>
      </c>
      <c r="M47" s="8" t="s">
        <v>23</v>
      </c>
      <c r="N47" s="12"/>
      <c r="O47" s="9"/>
    </row>
    <row r="48" customFormat="false" ht="23.85" hidden="false" customHeight="false" outlineLevel="0" collapsed="false">
      <c r="A48" s="2" t="n">
        <v>47</v>
      </c>
      <c r="B48" s="2" t="s">
        <v>131</v>
      </c>
      <c r="C48" s="3" t="s">
        <v>132</v>
      </c>
      <c r="D48" s="4" t="n">
        <v>46083</v>
      </c>
      <c r="E48" s="4" t="n">
        <v>46090</v>
      </c>
      <c r="F48" s="5" t="s">
        <v>156</v>
      </c>
      <c r="G48" s="6" t="s">
        <v>35</v>
      </c>
      <c r="H48" s="2" t="s">
        <v>36</v>
      </c>
      <c r="I48" s="2" t="s">
        <v>43</v>
      </c>
      <c r="J48" s="7" t="n">
        <v>6</v>
      </c>
      <c r="K48" s="3" t="s">
        <v>157</v>
      </c>
      <c r="L48" s="3" t="s">
        <v>158</v>
      </c>
      <c r="M48" s="2" t="s">
        <v>23</v>
      </c>
      <c r="N48" s="6"/>
      <c r="O48" s="3"/>
    </row>
    <row r="49" customFormat="false" ht="23.85" hidden="false" customHeight="false" outlineLevel="0" collapsed="false">
      <c r="A49" s="8" t="n">
        <v>48</v>
      </c>
      <c r="B49" s="8" t="s">
        <v>131</v>
      </c>
      <c r="C49" s="9" t="s">
        <v>132</v>
      </c>
      <c r="D49" s="10" t="n">
        <v>46083</v>
      </c>
      <c r="E49" s="10" t="n">
        <v>46091</v>
      </c>
      <c r="F49" s="11" t="s">
        <v>159</v>
      </c>
      <c r="G49" s="12" t="s">
        <v>35</v>
      </c>
      <c r="H49" s="8" t="s">
        <v>36</v>
      </c>
      <c r="I49" s="8" t="s">
        <v>123</v>
      </c>
      <c r="J49" s="13" t="n">
        <v>1</v>
      </c>
      <c r="K49" s="9" t="s">
        <v>160</v>
      </c>
      <c r="L49" s="9" t="s">
        <v>161</v>
      </c>
      <c r="M49" s="8" t="s">
        <v>23</v>
      </c>
      <c r="N49" s="12"/>
      <c r="O49" s="9"/>
    </row>
    <row r="50" customFormat="false" ht="23.85" hidden="false" customHeight="false" outlineLevel="0" collapsed="false">
      <c r="A50" s="2" t="n">
        <v>49</v>
      </c>
      <c r="B50" s="2" t="s">
        <v>131</v>
      </c>
      <c r="C50" s="3" t="s">
        <v>132</v>
      </c>
      <c r="D50" s="4" t="n">
        <v>46083</v>
      </c>
      <c r="E50" s="4" t="n">
        <v>46091</v>
      </c>
      <c r="F50" s="5" t="s">
        <v>162</v>
      </c>
      <c r="G50" s="6" t="s">
        <v>35</v>
      </c>
      <c r="H50" s="2" t="s">
        <v>53</v>
      </c>
      <c r="I50" s="2" t="s">
        <v>43</v>
      </c>
      <c r="J50" s="7" t="n">
        <v>3</v>
      </c>
      <c r="K50" s="3" t="s">
        <v>137</v>
      </c>
      <c r="L50" s="3" t="s">
        <v>163</v>
      </c>
      <c r="M50" s="2" t="s">
        <v>23</v>
      </c>
      <c r="N50" s="6"/>
      <c r="O50" s="3"/>
    </row>
    <row r="51" customFormat="false" ht="23.85" hidden="false" customHeight="false" outlineLevel="0" collapsed="false">
      <c r="A51" s="8" t="n">
        <v>50</v>
      </c>
      <c r="B51" s="8" t="s">
        <v>131</v>
      </c>
      <c r="C51" s="9" t="s">
        <v>132</v>
      </c>
      <c r="D51" s="10" t="n">
        <v>46083</v>
      </c>
      <c r="E51" s="10" t="n">
        <v>46091</v>
      </c>
      <c r="F51" s="11" t="s">
        <v>164</v>
      </c>
      <c r="G51" s="12" t="s">
        <v>35</v>
      </c>
      <c r="H51" s="8" t="s">
        <v>53</v>
      </c>
      <c r="I51" s="8" t="s">
        <v>43</v>
      </c>
      <c r="J51" s="13" t="n">
        <v>2</v>
      </c>
      <c r="K51" s="9" t="s">
        <v>137</v>
      </c>
      <c r="L51" s="9" t="s">
        <v>165</v>
      </c>
      <c r="M51" s="8" t="s">
        <v>23</v>
      </c>
      <c r="N51" s="12"/>
      <c r="O51" s="9"/>
    </row>
    <row r="52" customFormat="false" ht="23.85" hidden="false" customHeight="false" outlineLevel="0" collapsed="false">
      <c r="A52" s="2" t="n">
        <v>51</v>
      </c>
      <c r="B52" s="2" t="s">
        <v>131</v>
      </c>
      <c r="C52" s="3" t="s">
        <v>132</v>
      </c>
      <c r="D52" s="4" t="n">
        <v>46083</v>
      </c>
      <c r="E52" s="4" t="n">
        <v>46092</v>
      </c>
      <c r="F52" s="5" t="s">
        <v>166</v>
      </c>
      <c r="G52" s="6" t="s">
        <v>53</v>
      </c>
      <c r="H52" s="2" t="s">
        <v>53</v>
      </c>
      <c r="I52" s="2" t="s">
        <v>30</v>
      </c>
      <c r="J52" s="7" t="n">
        <v>5</v>
      </c>
      <c r="K52" s="3" t="s">
        <v>157</v>
      </c>
      <c r="L52" s="3" t="s">
        <v>167</v>
      </c>
      <c r="M52" s="2" t="s">
        <v>23</v>
      </c>
      <c r="N52" s="6"/>
      <c r="O52" s="3"/>
    </row>
    <row r="53" customFormat="false" ht="23.85" hidden="false" customHeight="false" outlineLevel="0" collapsed="false">
      <c r="A53" s="8" t="n">
        <v>52</v>
      </c>
      <c r="B53" s="8" t="s">
        <v>131</v>
      </c>
      <c r="C53" s="9" t="s">
        <v>132</v>
      </c>
      <c r="D53" s="10" t="n">
        <v>46083</v>
      </c>
      <c r="E53" s="10" t="n">
        <v>46093</v>
      </c>
      <c r="F53" s="11" t="s">
        <v>168</v>
      </c>
      <c r="G53" s="12" t="s">
        <v>53</v>
      </c>
      <c r="H53" s="8" t="s">
        <v>53</v>
      </c>
      <c r="I53" s="8" t="s">
        <v>43</v>
      </c>
      <c r="J53" s="13" t="n">
        <v>4</v>
      </c>
      <c r="K53" s="9" t="s">
        <v>169</v>
      </c>
      <c r="L53" s="9" t="s">
        <v>170</v>
      </c>
      <c r="M53" s="8" t="s">
        <v>23</v>
      </c>
      <c r="N53" s="12"/>
      <c r="O53" s="9"/>
    </row>
    <row r="54" customFormat="false" ht="23.85" hidden="false" customHeight="false" outlineLevel="0" collapsed="false">
      <c r="A54" s="2" t="n">
        <v>53</v>
      </c>
      <c r="B54" s="2" t="s">
        <v>131</v>
      </c>
      <c r="C54" s="3" t="s">
        <v>132</v>
      </c>
      <c r="D54" s="4" t="n">
        <v>46083</v>
      </c>
      <c r="E54" s="4" t="n">
        <v>46093</v>
      </c>
      <c r="F54" s="5" t="s">
        <v>171</v>
      </c>
      <c r="G54" s="6" t="s">
        <v>53</v>
      </c>
      <c r="H54" s="2" t="s">
        <v>53</v>
      </c>
      <c r="I54" s="2" t="s">
        <v>43</v>
      </c>
      <c r="J54" s="7" t="n">
        <v>5</v>
      </c>
      <c r="K54" s="3" t="s">
        <v>172</v>
      </c>
      <c r="L54" s="3" t="s">
        <v>173</v>
      </c>
      <c r="M54" s="2" t="s">
        <v>23</v>
      </c>
      <c r="N54" s="6"/>
      <c r="O54" s="3"/>
    </row>
    <row r="55" customFormat="false" ht="23.85" hidden="false" customHeight="false" outlineLevel="0" collapsed="false">
      <c r="A55" s="8" t="n">
        <v>54</v>
      </c>
      <c r="B55" s="8" t="s">
        <v>131</v>
      </c>
      <c r="C55" s="9" t="s">
        <v>132</v>
      </c>
      <c r="D55" s="10" t="n">
        <v>46083</v>
      </c>
      <c r="E55" s="10" t="n">
        <v>46093</v>
      </c>
      <c r="F55" s="11" t="s">
        <v>174</v>
      </c>
      <c r="G55" s="12" t="s">
        <v>53</v>
      </c>
      <c r="H55" s="8" t="s">
        <v>53</v>
      </c>
      <c r="I55" s="8" t="s">
        <v>43</v>
      </c>
      <c r="J55" s="13" t="n">
        <v>6</v>
      </c>
      <c r="K55" s="9" t="s">
        <v>175</v>
      </c>
      <c r="L55" s="9" t="s">
        <v>176</v>
      </c>
      <c r="M55" s="8" t="s">
        <v>23</v>
      </c>
      <c r="N55" s="12"/>
      <c r="O55" s="9"/>
    </row>
    <row r="56" customFormat="false" ht="23.85" hidden="false" customHeight="false" outlineLevel="0" collapsed="false">
      <c r="A56" s="2" t="n">
        <v>55</v>
      </c>
      <c r="B56" s="2" t="s">
        <v>131</v>
      </c>
      <c r="C56" s="3" t="s">
        <v>132</v>
      </c>
      <c r="D56" s="4" t="n">
        <v>46083</v>
      </c>
      <c r="E56" s="4" t="n">
        <v>46094</v>
      </c>
      <c r="F56" s="5" t="s">
        <v>177</v>
      </c>
      <c r="G56" s="6" t="s">
        <v>140</v>
      </c>
      <c r="H56" s="2" t="s">
        <v>53</v>
      </c>
      <c r="I56" s="2" t="s">
        <v>30</v>
      </c>
      <c r="J56" s="7" t="n">
        <v>10</v>
      </c>
      <c r="K56" s="3" t="s">
        <v>178</v>
      </c>
      <c r="L56" s="3" t="s">
        <v>179</v>
      </c>
      <c r="M56" s="2" t="s">
        <v>23</v>
      </c>
      <c r="N56" s="6"/>
      <c r="O56" s="3"/>
    </row>
    <row r="57" customFormat="false" ht="23.85" hidden="false" customHeight="false" outlineLevel="0" collapsed="false">
      <c r="A57" s="8" t="n">
        <v>56</v>
      </c>
      <c r="B57" s="8" t="s">
        <v>180</v>
      </c>
      <c r="C57" s="9" t="s">
        <v>181</v>
      </c>
      <c r="D57" s="10" t="n">
        <v>46097</v>
      </c>
      <c r="E57" s="10" t="n">
        <v>46098</v>
      </c>
      <c r="F57" s="11" t="s">
        <v>182</v>
      </c>
      <c r="G57" s="12" t="s">
        <v>83</v>
      </c>
      <c r="H57" s="8" t="s">
        <v>19</v>
      </c>
      <c r="I57" s="8" t="s">
        <v>30</v>
      </c>
      <c r="J57" s="13" t="n">
        <v>1</v>
      </c>
      <c r="K57" s="9" t="s">
        <v>183</v>
      </c>
      <c r="L57" s="9" t="s">
        <v>184</v>
      </c>
      <c r="M57" s="8" t="s">
        <v>23</v>
      </c>
      <c r="N57" s="12"/>
      <c r="O57" s="9"/>
    </row>
    <row r="58" customFormat="false" ht="23.85" hidden="false" customHeight="false" outlineLevel="0" collapsed="false">
      <c r="A58" s="2" t="n">
        <v>57</v>
      </c>
      <c r="B58" s="2" t="s">
        <v>180</v>
      </c>
      <c r="C58" s="3" t="s">
        <v>181</v>
      </c>
      <c r="D58" s="4" t="n">
        <v>46097</v>
      </c>
      <c r="E58" s="4" t="n">
        <v>46098</v>
      </c>
      <c r="F58" s="5" t="s">
        <v>185</v>
      </c>
      <c r="G58" s="6" t="s">
        <v>83</v>
      </c>
      <c r="H58" s="2" t="s">
        <v>19</v>
      </c>
      <c r="I58" s="2" t="s">
        <v>30</v>
      </c>
      <c r="J58" s="7" t="n">
        <v>0.5</v>
      </c>
      <c r="K58" s="3" t="s">
        <v>183</v>
      </c>
      <c r="L58" s="3" t="s">
        <v>186</v>
      </c>
      <c r="M58" s="2" t="s">
        <v>23</v>
      </c>
      <c r="N58" s="6"/>
      <c r="O58" s="3"/>
    </row>
    <row r="59" customFormat="false" ht="15" hidden="false" customHeight="false" outlineLevel="0" collapsed="false">
      <c r="A59" s="8" t="n">
        <v>58</v>
      </c>
      <c r="B59" s="8" t="s">
        <v>180</v>
      </c>
      <c r="C59" s="9" t="s">
        <v>181</v>
      </c>
      <c r="D59" s="10" t="n">
        <v>46097</v>
      </c>
      <c r="E59" s="10" t="n">
        <v>46099</v>
      </c>
      <c r="F59" s="11" t="s">
        <v>187</v>
      </c>
      <c r="G59" s="12" t="s">
        <v>83</v>
      </c>
      <c r="H59" s="8" t="s">
        <v>19</v>
      </c>
      <c r="I59" s="8" t="s">
        <v>43</v>
      </c>
      <c r="J59" s="13" t="n">
        <v>1</v>
      </c>
      <c r="K59" s="9" t="s">
        <v>183</v>
      </c>
      <c r="L59" s="9" t="s">
        <v>188</v>
      </c>
      <c r="M59" s="8" t="s">
        <v>23</v>
      </c>
      <c r="N59" s="12"/>
      <c r="O59" s="9"/>
    </row>
    <row r="60" customFormat="false" ht="23.85" hidden="false" customHeight="false" outlineLevel="0" collapsed="false">
      <c r="A60" s="2" t="n">
        <v>59</v>
      </c>
      <c r="B60" s="2" t="s">
        <v>180</v>
      </c>
      <c r="C60" s="3" t="s">
        <v>181</v>
      </c>
      <c r="D60" s="4" t="n">
        <v>46097</v>
      </c>
      <c r="E60" s="4" t="n">
        <v>46099</v>
      </c>
      <c r="F60" s="5" t="s">
        <v>189</v>
      </c>
      <c r="G60" s="6" t="s">
        <v>83</v>
      </c>
      <c r="H60" s="2" t="s">
        <v>36</v>
      </c>
      <c r="I60" s="2" t="s">
        <v>43</v>
      </c>
      <c r="J60" s="7" t="n">
        <v>3</v>
      </c>
      <c r="K60" s="3" t="s">
        <v>190</v>
      </c>
      <c r="L60" s="3" t="s">
        <v>191</v>
      </c>
      <c r="M60" s="2" t="s">
        <v>23</v>
      </c>
      <c r="N60" s="6"/>
      <c r="O60" s="3"/>
    </row>
    <row r="61" customFormat="false" ht="23.85" hidden="false" customHeight="false" outlineLevel="0" collapsed="false">
      <c r="A61" s="8" t="n">
        <v>60</v>
      </c>
      <c r="B61" s="8" t="s">
        <v>180</v>
      </c>
      <c r="C61" s="9" t="s">
        <v>181</v>
      </c>
      <c r="D61" s="10" t="n">
        <v>46097</v>
      </c>
      <c r="E61" s="10" t="n">
        <v>46100</v>
      </c>
      <c r="F61" s="11" t="s">
        <v>192</v>
      </c>
      <c r="G61" s="12" t="s">
        <v>83</v>
      </c>
      <c r="H61" s="8" t="s">
        <v>19</v>
      </c>
      <c r="I61" s="8" t="s">
        <v>43</v>
      </c>
      <c r="J61" s="13" t="n">
        <v>1</v>
      </c>
      <c r="K61" s="9" t="s">
        <v>193</v>
      </c>
      <c r="L61" s="9" t="s">
        <v>194</v>
      </c>
      <c r="M61" s="8" t="s">
        <v>23</v>
      </c>
      <c r="N61" s="12"/>
      <c r="O61" s="9"/>
    </row>
    <row r="62" customFormat="false" ht="23.85" hidden="false" customHeight="false" outlineLevel="0" collapsed="false">
      <c r="A62" s="2" t="n">
        <v>61</v>
      </c>
      <c r="B62" s="2" t="s">
        <v>180</v>
      </c>
      <c r="C62" s="3" t="s">
        <v>181</v>
      </c>
      <c r="D62" s="4" t="n">
        <v>46097</v>
      </c>
      <c r="E62" s="4" t="n">
        <v>46100</v>
      </c>
      <c r="F62" s="5" t="s">
        <v>195</v>
      </c>
      <c r="G62" s="6" t="s">
        <v>83</v>
      </c>
      <c r="H62" s="2" t="s">
        <v>53</v>
      </c>
      <c r="I62" s="2" t="s">
        <v>30</v>
      </c>
      <c r="J62" s="7" t="n">
        <v>3</v>
      </c>
      <c r="K62" s="3" t="s">
        <v>196</v>
      </c>
      <c r="L62" s="3" t="s">
        <v>197</v>
      </c>
      <c r="M62" s="2" t="s">
        <v>23</v>
      </c>
      <c r="N62" s="6"/>
      <c r="O62" s="3"/>
    </row>
    <row r="63" customFormat="false" ht="23.85" hidden="false" customHeight="false" outlineLevel="0" collapsed="false">
      <c r="A63" s="8" t="n">
        <v>62</v>
      </c>
      <c r="B63" s="8" t="s">
        <v>180</v>
      </c>
      <c r="C63" s="9" t="s">
        <v>181</v>
      </c>
      <c r="D63" s="10" t="n">
        <v>46097</v>
      </c>
      <c r="E63" s="10" t="n">
        <v>46101</v>
      </c>
      <c r="F63" s="11" t="s">
        <v>198</v>
      </c>
      <c r="G63" s="12" t="s">
        <v>71</v>
      </c>
      <c r="H63" s="8" t="s">
        <v>36</v>
      </c>
      <c r="I63" s="8" t="s">
        <v>30</v>
      </c>
      <c r="J63" s="13" t="n">
        <v>2</v>
      </c>
      <c r="K63" s="9" t="s">
        <v>199</v>
      </c>
      <c r="L63" s="9" t="s">
        <v>200</v>
      </c>
      <c r="M63" s="8" t="s">
        <v>23</v>
      </c>
      <c r="N63" s="12"/>
      <c r="O63" s="9"/>
    </row>
    <row r="64" customFormat="false" ht="23.85" hidden="false" customHeight="false" outlineLevel="0" collapsed="false">
      <c r="A64" s="2" t="n">
        <v>63</v>
      </c>
      <c r="B64" s="2" t="s">
        <v>180</v>
      </c>
      <c r="C64" s="3" t="s">
        <v>181</v>
      </c>
      <c r="D64" s="4" t="n">
        <v>46097</v>
      </c>
      <c r="E64" s="4" t="n">
        <v>46101</v>
      </c>
      <c r="F64" s="5" t="s">
        <v>201</v>
      </c>
      <c r="G64" s="6" t="s">
        <v>140</v>
      </c>
      <c r="H64" s="2" t="s">
        <v>19</v>
      </c>
      <c r="I64" s="2" t="s">
        <v>30</v>
      </c>
      <c r="J64" s="7" t="n">
        <v>2</v>
      </c>
      <c r="K64" s="3" t="s">
        <v>202</v>
      </c>
      <c r="L64" s="3" t="s">
        <v>203</v>
      </c>
      <c r="M64" s="2" t="s">
        <v>23</v>
      </c>
      <c r="N64" s="6"/>
      <c r="O64" s="3"/>
    </row>
    <row r="65" customFormat="false" ht="23.85" hidden="false" customHeight="false" outlineLevel="0" collapsed="false">
      <c r="A65" s="8" t="n">
        <v>64</v>
      </c>
      <c r="B65" s="8" t="s">
        <v>180</v>
      </c>
      <c r="C65" s="9" t="s">
        <v>181</v>
      </c>
      <c r="D65" s="10" t="n">
        <v>46097</v>
      </c>
      <c r="E65" s="10" t="n">
        <v>46104</v>
      </c>
      <c r="F65" s="11" t="s">
        <v>204</v>
      </c>
      <c r="G65" s="12" t="s">
        <v>83</v>
      </c>
      <c r="H65" s="8" t="s">
        <v>53</v>
      </c>
      <c r="I65" s="8" t="s">
        <v>43</v>
      </c>
      <c r="J65" s="13" t="n">
        <v>3</v>
      </c>
      <c r="K65" s="9" t="s">
        <v>205</v>
      </c>
      <c r="L65" s="9" t="s">
        <v>206</v>
      </c>
      <c r="M65" s="8" t="s">
        <v>23</v>
      </c>
      <c r="N65" s="12"/>
      <c r="O65" s="9"/>
    </row>
    <row r="66" customFormat="false" ht="15" hidden="false" customHeight="false" outlineLevel="0" collapsed="false">
      <c r="A66" s="2" t="n">
        <v>65</v>
      </c>
      <c r="B66" s="2" t="s">
        <v>180</v>
      </c>
      <c r="C66" s="3" t="s">
        <v>181</v>
      </c>
      <c r="D66" s="4" t="n">
        <v>46097</v>
      </c>
      <c r="E66" s="4" t="n">
        <v>46104</v>
      </c>
      <c r="F66" s="5" t="s">
        <v>207</v>
      </c>
      <c r="G66" s="6" t="s">
        <v>36</v>
      </c>
      <c r="H66" s="2" t="s">
        <v>36</v>
      </c>
      <c r="I66" s="2" t="s">
        <v>43</v>
      </c>
      <c r="J66" s="7" t="n">
        <v>0.5</v>
      </c>
      <c r="K66" s="3" t="s">
        <v>208</v>
      </c>
      <c r="L66" s="3" t="s">
        <v>209</v>
      </c>
      <c r="M66" s="2" t="s">
        <v>23</v>
      </c>
      <c r="N66" s="6"/>
      <c r="O66" s="3"/>
    </row>
    <row r="67" customFormat="false" ht="23.85" hidden="false" customHeight="false" outlineLevel="0" collapsed="false">
      <c r="A67" s="8" t="n">
        <v>66</v>
      </c>
      <c r="B67" s="8" t="s">
        <v>180</v>
      </c>
      <c r="C67" s="9" t="s">
        <v>181</v>
      </c>
      <c r="D67" s="10" t="n">
        <v>46097</v>
      </c>
      <c r="E67" s="10" t="n">
        <v>46105</v>
      </c>
      <c r="F67" s="11" t="s">
        <v>210</v>
      </c>
      <c r="G67" s="12" t="s">
        <v>83</v>
      </c>
      <c r="H67" s="8" t="s">
        <v>53</v>
      </c>
      <c r="I67" s="8" t="s">
        <v>43</v>
      </c>
      <c r="J67" s="13" t="n">
        <v>3</v>
      </c>
      <c r="K67" s="9" t="s">
        <v>211</v>
      </c>
      <c r="L67" s="9" t="s">
        <v>212</v>
      </c>
      <c r="M67" s="8" t="s">
        <v>23</v>
      </c>
      <c r="N67" s="12"/>
      <c r="O67" s="9"/>
    </row>
    <row r="68" customFormat="false" ht="23.85" hidden="false" customHeight="false" outlineLevel="0" collapsed="false">
      <c r="A68" s="2" t="n">
        <v>67</v>
      </c>
      <c r="B68" s="2" t="s">
        <v>180</v>
      </c>
      <c r="C68" s="3" t="s">
        <v>181</v>
      </c>
      <c r="D68" s="4" t="n">
        <v>46097</v>
      </c>
      <c r="E68" s="4" t="n">
        <v>46105</v>
      </c>
      <c r="F68" s="5" t="s">
        <v>213</v>
      </c>
      <c r="G68" s="6" t="s">
        <v>83</v>
      </c>
      <c r="H68" s="2" t="s">
        <v>53</v>
      </c>
      <c r="I68" s="2" t="s">
        <v>43</v>
      </c>
      <c r="J68" s="7" t="n">
        <v>2</v>
      </c>
      <c r="K68" s="3" t="s">
        <v>214</v>
      </c>
      <c r="L68" s="3" t="s">
        <v>215</v>
      </c>
      <c r="M68" s="2" t="s">
        <v>23</v>
      </c>
      <c r="N68" s="6"/>
      <c r="O68" s="3"/>
    </row>
    <row r="69" customFormat="false" ht="23.85" hidden="false" customHeight="false" outlineLevel="0" collapsed="false">
      <c r="A69" s="8" t="n">
        <v>68</v>
      </c>
      <c r="B69" s="8" t="s">
        <v>180</v>
      </c>
      <c r="C69" s="9" t="s">
        <v>181</v>
      </c>
      <c r="D69" s="10" t="n">
        <v>46097</v>
      </c>
      <c r="E69" s="10" t="n">
        <v>46106</v>
      </c>
      <c r="F69" s="11" t="s">
        <v>216</v>
      </c>
      <c r="G69" s="12" t="s">
        <v>53</v>
      </c>
      <c r="H69" s="8" t="s">
        <v>53</v>
      </c>
      <c r="I69" s="8" t="s">
        <v>43</v>
      </c>
      <c r="J69" s="13" t="n">
        <v>5</v>
      </c>
      <c r="K69" s="9" t="s">
        <v>217</v>
      </c>
      <c r="L69" s="9" t="s">
        <v>218</v>
      </c>
      <c r="M69" s="8" t="s">
        <v>23</v>
      </c>
      <c r="N69" s="12"/>
      <c r="O69" s="9"/>
    </row>
    <row r="70" customFormat="false" ht="15" hidden="false" customHeight="false" outlineLevel="0" collapsed="false">
      <c r="A70" s="2" t="n">
        <v>69</v>
      </c>
      <c r="B70" s="2" t="s">
        <v>180</v>
      </c>
      <c r="C70" s="3" t="s">
        <v>181</v>
      </c>
      <c r="D70" s="4" t="n">
        <v>46097</v>
      </c>
      <c r="E70" s="4" t="n">
        <v>46106</v>
      </c>
      <c r="F70" s="5" t="s">
        <v>219</v>
      </c>
      <c r="G70" s="6" t="s">
        <v>83</v>
      </c>
      <c r="H70" s="2" t="s">
        <v>53</v>
      </c>
      <c r="I70" s="2" t="s">
        <v>43</v>
      </c>
      <c r="J70" s="7" t="n">
        <v>2</v>
      </c>
      <c r="K70" s="3" t="s">
        <v>220</v>
      </c>
      <c r="L70" s="3" t="s">
        <v>221</v>
      </c>
      <c r="M70" s="2" t="s">
        <v>23</v>
      </c>
      <c r="N70" s="6"/>
      <c r="O70" s="3"/>
    </row>
    <row r="71" customFormat="false" ht="23.85" hidden="false" customHeight="false" outlineLevel="0" collapsed="false">
      <c r="A71" s="8" t="n">
        <v>70</v>
      </c>
      <c r="B71" s="8" t="s">
        <v>180</v>
      </c>
      <c r="C71" s="9" t="s">
        <v>181</v>
      </c>
      <c r="D71" s="10" t="n">
        <v>46097</v>
      </c>
      <c r="E71" s="10" t="n">
        <v>46107</v>
      </c>
      <c r="F71" s="11" t="s">
        <v>222</v>
      </c>
      <c r="G71" s="12" t="s">
        <v>83</v>
      </c>
      <c r="H71" s="8" t="s">
        <v>19</v>
      </c>
      <c r="I71" s="8" t="s">
        <v>43</v>
      </c>
      <c r="J71" s="13" t="n">
        <v>2</v>
      </c>
      <c r="K71" s="9" t="s">
        <v>223</v>
      </c>
      <c r="L71" s="9" t="s">
        <v>224</v>
      </c>
      <c r="M71" s="8" t="s">
        <v>23</v>
      </c>
      <c r="N71" s="12"/>
      <c r="O71" s="9"/>
    </row>
    <row r="72" customFormat="false" ht="35.05" hidden="false" customHeight="false" outlineLevel="0" collapsed="false">
      <c r="A72" s="2" t="n">
        <v>71</v>
      </c>
      <c r="B72" s="2" t="s">
        <v>180</v>
      </c>
      <c r="C72" s="3" t="s">
        <v>181</v>
      </c>
      <c r="D72" s="4" t="n">
        <v>46097</v>
      </c>
      <c r="E72" s="4" t="n">
        <v>46107</v>
      </c>
      <c r="F72" s="5" t="s">
        <v>225</v>
      </c>
      <c r="G72" s="6" t="s">
        <v>83</v>
      </c>
      <c r="H72" s="2" t="s">
        <v>36</v>
      </c>
      <c r="I72" s="2" t="s">
        <v>43</v>
      </c>
      <c r="J72" s="7" t="n">
        <v>3</v>
      </c>
      <c r="K72" s="3" t="s">
        <v>226</v>
      </c>
      <c r="L72" s="3" t="s">
        <v>227</v>
      </c>
      <c r="M72" s="2" t="s">
        <v>23</v>
      </c>
      <c r="N72" s="6"/>
      <c r="O72" s="3"/>
    </row>
    <row r="73" customFormat="false" ht="15" hidden="false" customHeight="false" outlineLevel="0" collapsed="false">
      <c r="A73" s="8" t="n">
        <v>72</v>
      </c>
      <c r="B73" s="8" t="s">
        <v>180</v>
      </c>
      <c r="C73" s="9" t="s">
        <v>181</v>
      </c>
      <c r="D73" s="10" t="n">
        <v>46097</v>
      </c>
      <c r="E73" s="10" t="n">
        <v>46108</v>
      </c>
      <c r="F73" s="11" t="s">
        <v>228</v>
      </c>
      <c r="G73" s="12" t="s">
        <v>36</v>
      </c>
      <c r="H73" s="8" t="s">
        <v>36</v>
      </c>
      <c r="I73" s="8" t="s">
        <v>123</v>
      </c>
      <c r="J73" s="13" t="n">
        <v>2</v>
      </c>
      <c r="K73" s="9" t="s">
        <v>229</v>
      </c>
      <c r="L73" s="9" t="s">
        <v>230</v>
      </c>
      <c r="M73" s="8" t="s">
        <v>23</v>
      </c>
      <c r="N73" s="12"/>
      <c r="O73" s="9"/>
    </row>
    <row r="74" customFormat="false" ht="23.85" hidden="false" customHeight="false" outlineLevel="0" collapsed="false">
      <c r="A74" s="2" t="n">
        <v>73</v>
      </c>
      <c r="B74" s="2" t="s">
        <v>231</v>
      </c>
      <c r="C74" s="3" t="s">
        <v>232</v>
      </c>
      <c r="D74" s="4" t="n">
        <v>46111</v>
      </c>
      <c r="E74" s="4" t="n">
        <v>46112</v>
      </c>
      <c r="F74" s="5" t="s">
        <v>233</v>
      </c>
      <c r="G74" s="6" t="s">
        <v>234</v>
      </c>
      <c r="H74" s="2" t="s">
        <v>53</v>
      </c>
      <c r="I74" s="2" t="s">
        <v>43</v>
      </c>
      <c r="J74" s="7" t="n">
        <v>4</v>
      </c>
      <c r="K74" s="3" t="s">
        <v>235</v>
      </c>
      <c r="L74" s="3" t="s">
        <v>236</v>
      </c>
      <c r="M74" s="2" t="s">
        <v>23</v>
      </c>
      <c r="N74" s="6"/>
      <c r="O74" s="3"/>
    </row>
    <row r="75" customFormat="false" ht="23.85" hidden="false" customHeight="false" outlineLevel="0" collapsed="false">
      <c r="A75" s="8" t="n">
        <v>74</v>
      </c>
      <c r="B75" s="8" t="s">
        <v>231</v>
      </c>
      <c r="C75" s="9" t="s">
        <v>232</v>
      </c>
      <c r="D75" s="10" t="n">
        <v>46111</v>
      </c>
      <c r="E75" s="10" t="n">
        <v>46112</v>
      </c>
      <c r="F75" s="11" t="s">
        <v>237</v>
      </c>
      <c r="G75" s="12" t="s">
        <v>234</v>
      </c>
      <c r="H75" s="8" t="s">
        <v>36</v>
      </c>
      <c r="I75" s="8" t="s">
        <v>43</v>
      </c>
      <c r="J75" s="13" t="n">
        <v>2</v>
      </c>
      <c r="K75" s="9" t="s">
        <v>238</v>
      </c>
      <c r="L75" s="9" t="s">
        <v>239</v>
      </c>
      <c r="M75" s="8" t="s">
        <v>23</v>
      </c>
      <c r="N75" s="12"/>
      <c r="O75" s="9"/>
    </row>
    <row r="76" customFormat="false" ht="23.85" hidden="false" customHeight="false" outlineLevel="0" collapsed="false">
      <c r="A76" s="2" t="n">
        <v>75</v>
      </c>
      <c r="B76" s="2" t="s">
        <v>231</v>
      </c>
      <c r="C76" s="3" t="s">
        <v>232</v>
      </c>
      <c r="D76" s="4" t="n">
        <v>46111</v>
      </c>
      <c r="E76" s="4" t="n">
        <v>46113</v>
      </c>
      <c r="F76" s="5" t="s">
        <v>240</v>
      </c>
      <c r="G76" s="6" t="s">
        <v>234</v>
      </c>
      <c r="H76" s="2" t="s">
        <v>36</v>
      </c>
      <c r="I76" s="2" t="s">
        <v>43</v>
      </c>
      <c r="J76" s="7" t="n">
        <v>2</v>
      </c>
      <c r="K76" s="3" t="s">
        <v>241</v>
      </c>
      <c r="L76" s="3" t="s">
        <v>242</v>
      </c>
      <c r="M76" s="2" t="s">
        <v>23</v>
      </c>
      <c r="N76" s="6"/>
      <c r="O76" s="3"/>
    </row>
    <row r="77" customFormat="false" ht="23.85" hidden="false" customHeight="false" outlineLevel="0" collapsed="false">
      <c r="A77" s="8" t="n">
        <v>76</v>
      </c>
      <c r="B77" s="8" t="s">
        <v>231</v>
      </c>
      <c r="C77" s="9" t="s">
        <v>232</v>
      </c>
      <c r="D77" s="10" t="n">
        <v>46111</v>
      </c>
      <c r="E77" s="10" t="n">
        <v>46113</v>
      </c>
      <c r="F77" s="11" t="s">
        <v>243</v>
      </c>
      <c r="G77" s="12" t="s">
        <v>83</v>
      </c>
      <c r="H77" s="8" t="s">
        <v>53</v>
      </c>
      <c r="I77" s="8" t="s">
        <v>123</v>
      </c>
      <c r="J77" s="13" t="n">
        <v>3</v>
      </c>
      <c r="K77" s="9" t="s">
        <v>244</v>
      </c>
      <c r="L77" s="9" t="s">
        <v>245</v>
      </c>
      <c r="M77" s="8" t="s">
        <v>23</v>
      </c>
      <c r="N77" s="12"/>
      <c r="O77" s="9"/>
    </row>
    <row r="78" customFormat="false" ht="23.85" hidden="false" customHeight="false" outlineLevel="0" collapsed="false">
      <c r="A78" s="2" t="n">
        <v>77</v>
      </c>
      <c r="B78" s="2" t="s">
        <v>231</v>
      </c>
      <c r="C78" s="3" t="s">
        <v>232</v>
      </c>
      <c r="D78" s="4" t="n">
        <v>46111</v>
      </c>
      <c r="E78" s="4" t="n">
        <v>46114</v>
      </c>
      <c r="F78" s="5" t="s">
        <v>246</v>
      </c>
      <c r="G78" s="6" t="s">
        <v>83</v>
      </c>
      <c r="H78" s="2" t="s">
        <v>53</v>
      </c>
      <c r="I78" s="2" t="s">
        <v>43</v>
      </c>
      <c r="J78" s="7" t="n">
        <v>4</v>
      </c>
      <c r="K78" s="3" t="s">
        <v>247</v>
      </c>
      <c r="L78" s="3" t="s">
        <v>248</v>
      </c>
      <c r="M78" s="2" t="s">
        <v>23</v>
      </c>
      <c r="N78" s="6"/>
      <c r="O78" s="3"/>
    </row>
    <row r="79" customFormat="false" ht="23.85" hidden="false" customHeight="false" outlineLevel="0" collapsed="false">
      <c r="A79" s="8" t="n">
        <v>78</v>
      </c>
      <c r="B79" s="8" t="s">
        <v>231</v>
      </c>
      <c r="C79" s="9" t="s">
        <v>232</v>
      </c>
      <c r="D79" s="10" t="n">
        <v>46111</v>
      </c>
      <c r="E79" s="10" t="n">
        <v>46114</v>
      </c>
      <c r="F79" s="11" t="s">
        <v>249</v>
      </c>
      <c r="G79" s="12" t="s">
        <v>250</v>
      </c>
      <c r="H79" s="8" t="s">
        <v>53</v>
      </c>
      <c r="I79" s="8" t="s">
        <v>30</v>
      </c>
      <c r="J79" s="13" t="n">
        <v>3</v>
      </c>
      <c r="K79" s="9" t="s">
        <v>251</v>
      </c>
      <c r="L79" s="9" t="s">
        <v>252</v>
      </c>
      <c r="M79" s="8" t="s">
        <v>23</v>
      </c>
      <c r="N79" s="12"/>
      <c r="O79" s="9"/>
    </row>
    <row r="80" customFormat="false" ht="23.85" hidden="false" customHeight="false" outlineLevel="0" collapsed="false">
      <c r="A80" s="2" t="n">
        <v>79</v>
      </c>
      <c r="B80" s="2" t="s">
        <v>231</v>
      </c>
      <c r="C80" s="3" t="s">
        <v>232</v>
      </c>
      <c r="D80" s="4" t="n">
        <v>46111</v>
      </c>
      <c r="E80" s="4" t="n">
        <v>46115</v>
      </c>
      <c r="F80" s="5" t="s">
        <v>253</v>
      </c>
      <c r="G80" s="6" t="s">
        <v>250</v>
      </c>
      <c r="H80" s="2" t="s">
        <v>53</v>
      </c>
      <c r="I80" s="2" t="s">
        <v>30</v>
      </c>
      <c r="J80" s="7" t="n">
        <v>2</v>
      </c>
      <c r="K80" s="3" t="s">
        <v>254</v>
      </c>
      <c r="L80" s="3" t="s">
        <v>255</v>
      </c>
      <c r="M80" s="2" t="s">
        <v>23</v>
      </c>
      <c r="N80" s="6"/>
      <c r="O80" s="3"/>
    </row>
    <row r="81" customFormat="false" ht="23.85" hidden="false" customHeight="false" outlineLevel="0" collapsed="false">
      <c r="A81" s="8" t="n">
        <v>80</v>
      </c>
      <c r="B81" s="8" t="s">
        <v>231</v>
      </c>
      <c r="C81" s="9" t="s">
        <v>232</v>
      </c>
      <c r="D81" s="10" t="n">
        <v>46111</v>
      </c>
      <c r="E81" s="10" t="n">
        <v>46115</v>
      </c>
      <c r="F81" s="11" t="s">
        <v>256</v>
      </c>
      <c r="G81" s="12" t="s">
        <v>250</v>
      </c>
      <c r="H81" s="8" t="s">
        <v>36</v>
      </c>
      <c r="I81" s="8" t="s">
        <v>43</v>
      </c>
      <c r="J81" s="13" t="n">
        <v>3</v>
      </c>
      <c r="K81" s="9" t="s">
        <v>257</v>
      </c>
      <c r="L81" s="9" t="s">
        <v>258</v>
      </c>
      <c r="M81" s="8" t="s">
        <v>23</v>
      </c>
      <c r="N81" s="12"/>
      <c r="O81" s="9"/>
    </row>
    <row r="82" customFormat="false" ht="23.85" hidden="false" customHeight="false" outlineLevel="0" collapsed="false">
      <c r="A82" s="2" t="n">
        <v>81</v>
      </c>
      <c r="B82" s="2" t="s">
        <v>231</v>
      </c>
      <c r="C82" s="3" t="s">
        <v>232</v>
      </c>
      <c r="D82" s="4" t="n">
        <v>46111</v>
      </c>
      <c r="E82" s="4" t="n">
        <v>46118</v>
      </c>
      <c r="F82" s="5" t="s">
        <v>259</v>
      </c>
      <c r="G82" s="6" t="s">
        <v>122</v>
      </c>
      <c r="H82" s="2" t="s">
        <v>53</v>
      </c>
      <c r="I82" s="2" t="s">
        <v>43</v>
      </c>
      <c r="J82" s="7" t="n">
        <v>3</v>
      </c>
      <c r="K82" s="3" t="s">
        <v>260</v>
      </c>
      <c r="L82" s="3" t="s">
        <v>261</v>
      </c>
      <c r="M82" s="2" t="s">
        <v>23</v>
      </c>
      <c r="N82" s="6"/>
      <c r="O82" s="3"/>
    </row>
    <row r="83" customFormat="false" ht="23.85" hidden="false" customHeight="false" outlineLevel="0" collapsed="false">
      <c r="A83" s="8" t="n">
        <v>82</v>
      </c>
      <c r="B83" s="8" t="s">
        <v>231</v>
      </c>
      <c r="C83" s="9" t="s">
        <v>232</v>
      </c>
      <c r="D83" s="10" t="n">
        <v>46111</v>
      </c>
      <c r="E83" s="10" t="n">
        <v>46119</v>
      </c>
      <c r="F83" s="11" t="s">
        <v>262</v>
      </c>
      <c r="G83" s="12" t="s">
        <v>122</v>
      </c>
      <c r="H83" s="8" t="s">
        <v>53</v>
      </c>
      <c r="I83" s="8" t="s">
        <v>123</v>
      </c>
      <c r="J83" s="13" t="n">
        <v>2</v>
      </c>
      <c r="K83" s="9" t="s">
        <v>263</v>
      </c>
      <c r="L83" s="9" t="s">
        <v>264</v>
      </c>
      <c r="M83" s="8" t="s">
        <v>23</v>
      </c>
      <c r="N83" s="12"/>
      <c r="O83" s="9"/>
    </row>
    <row r="84" customFormat="false" ht="23.85" hidden="false" customHeight="false" outlineLevel="0" collapsed="false">
      <c r="A84" s="2" t="n">
        <v>83</v>
      </c>
      <c r="B84" s="2" t="s">
        <v>231</v>
      </c>
      <c r="C84" s="3" t="s">
        <v>232</v>
      </c>
      <c r="D84" s="4" t="n">
        <v>46111</v>
      </c>
      <c r="E84" s="4" t="n">
        <v>46119</v>
      </c>
      <c r="F84" s="5" t="s">
        <v>265</v>
      </c>
      <c r="G84" s="6" t="s">
        <v>53</v>
      </c>
      <c r="H84" s="2" t="s">
        <v>53</v>
      </c>
      <c r="I84" s="2" t="s">
        <v>30</v>
      </c>
      <c r="J84" s="7" t="n">
        <v>8</v>
      </c>
      <c r="K84" s="3" t="s">
        <v>266</v>
      </c>
      <c r="L84" s="3" t="s">
        <v>267</v>
      </c>
      <c r="M84" s="2" t="s">
        <v>23</v>
      </c>
      <c r="N84" s="6"/>
      <c r="O84" s="3"/>
    </row>
    <row r="85" customFormat="false" ht="23.85" hidden="false" customHeight="false" outlineLevel="0" collapsed="false">
      <c r="A85" s="8" t="n">
        <v>84</v>
      </c>
      <c r="B85" s="8" t="s">
        <v>231</v>
      </c>
      <c r="C85" s="9" t="s">
        <v>232</v>
      </c>
      <c r="D85" s="10" t="n">
        <v>46111</v>
      </c>
      <c r="E85" s="10" t="n">
        <v>46120</v>
      </c>
      <c r="F85" s="11" t="s">
        <v>268</v>
      </c>
      <c r="G85" s="12" t="s">
        <v>53</v>
      </c>
      <c r="H85" s="8" t="s">
        <v>53</v>
      </c>
      <c r="I85" s="8" t="s">
        <v>30</v>
      </c>
      <c r="J85" s="13" t="n">
        <v>4</v>
      </c>
      <c r="K85" s="9" t="s">
        <v>269</v>
      </c>
      <c r="L85" s="9" t="s">
        <v>270</v>
      </c>
      <c r="M85" s="8" t="s">
        <v>23</v>
      </c>
      <c r="N85" s="12"/>
      <c r="O85" s="9"/>
    </row>
    <row r="86" customFormat="false" ht="23.85" hidden="false" customHeight="false" outlineLevel="0" collapsed="false">
      <c r="A86" s="2" t="n">
        <v>85</v>
      </c>
      <c r="B86" s="2" t="s">
        <v>231</v>
      </c>
      <c r="C86" s="3" t="s">
        <v>232</v>
      </c>
      <c r="D86" s="4" t="n">
        <v>46111</v>
      </c>
      <c r="E86" s="4" t="n">
        <v>46120</v>
      </c>
      <c r="F86" s="5" t="s">
        <v>271</v>
      </c>
      <c r="G86" s="6" t="s">
        <v>53</v>
      </c>
      <c r="H86" s="2" t="s">
        <v>53</v>
      </c>
      <c r="I86" s="2" t="s">
        <v>43</v>
      </c>
      <c r="J86" s="7" t="n">
        <v>3</v>
      </c>
      <c r="K86" s="3" t="s">
        <v>272</v>
      </c>
      <c r="L86" s="3" t="s">
        <v>273</v>
      </c>
      <c r="M86" s="2" t="s">
        <v>23</v>
      </c>
      <c r="N86" s="6"/>
      <c r="O86" s="3"/>
    </row>
    <row r="87" customFormat="false" ht="23.85" hidden="false" customHeight="false" outlineLevel="0" collapsed="false">
      <c r="A87" s="8" t="n">
        <v>86</v>
      </c>
      <c r="B87" s="8" t="s">
        <v>231</v>
      </c>
      <c r="C87" s="9" t="s">
        <v>232</v>
      </c>
      <c r="D87" s="10" t="n">
        <v>46111</v>
      </c>
      <c r="E87" s="10" t="n">
        <v>46121</v>
      </c>
      <c r="F87" s="11" t="s">
        <v>274</v>
      </c>
      <c r="G87" s="12" t="s">
        <v>53</v>
      </c>
      <c r="H87" s="8" t="s">
        <v>53</v>
      </c>
      <c r="I87" s="8" t="s">
        <v>123</v>
      </c>
      <c r="J87" s="13" t="n">
        <v>3</v>
      </c>
      <c r="K87" s="9" t="s">
        <v>275</v>
      </c>
      <c r="L87" s="9" t="s">
        <v>276</v>
      </c>
      <c r="M87" s="8" t="s">
        <v>23</v>
      </c>
      <c r="N87" s="12"/>
      <c r="O87" s="9"/>
    </row>
    <row r="88" customFormat="false" ht="23.85" hidden="false" customHeight="false" outlineLevel="0" collapsed="false">
      <c r="A88" s="2" t="n">
        <v>87</v>
      </c>
      <c r="B88" s="2" t="s">
        <v>231</v>
      </c>
      <c r="C88" s="3" t="s">
        <v>232</v>
      </c>
      <c r="D88" s="4" t="n">
        <v>46111</v>
      </c>
      <c r="E88" s="4" t="n">
        <v>46121</v>
      </c>
      <c r="F88" s="5" t="s">
        <v>277</v>
      </c>
      <c r="G88" s="6" t="s">
        <v>53</v>
      </c>
      <c r="H88" s="2" t="s">
        <v>53</v>
      </c>
      <c r="I88" s="2" t="s">
        <v>43</v>
      </c>
      <c r="J88" s="7" t="n">
        <v>3</v>
      </c>
      <c r="K88" s="3" t="s">
        <v>278</v>
      </c>
      <c r="L88" s="3" t="s">
        <v>279</v>
      </c>
      <c r="M88" s="2" t="s">
        <v>23</v>
      </c>
      <c r="N88" s="6"/>
      <c r="O88" s="3"/>
    </row>
    <row r="89" customFormat="false" ht="23.85" hidden="false" customHeight="false" outlineLevel="0" collapsed="false">
      <c r="A89" s="8" t="n">
        <v>88</v>
      </c>
      <c r="B89" s="8" t="s">
        <v>231</v>
      </c>
      <c r="C89" s="9" t="s">
        <v>232</v>
      </c>
      <c r="D89" s="10" t="n">
        <v>46111</v>
      </c>
      <c r="E89" s="10" t="n">
        <v>46122</v>
      </c>
      <c r="F89" s="11" t="s">
        <v>280</v>
      </c>
      <c r="G89" s="12" t="s">
        <v>53</v>
      </c>
      <c r="H89" s="8" t="s">
        <v>53</v>
      </c>
      <c r="I89" s="8" t="s">
        <v>43</v>
      </c>
      <c r="J89" s="13" t="n">
        <v>5</v>
      </c>
      <c r="K89" s="9" t="s">
        <v>281</v>
      </c>
      <c r="L89" s="9" t="s">
        <v>282</v>
      </c>
      <c r="M89" s="8" t="s">
        <v>23</v>
      </c>
      <c r="N89" s="12"/>
      <c r="O89" s="9"/>
    </row>
    <row r="90" customFormat="false" ht="23.85" hidden="false" customHeight="false" outlineLevel="0" collapsed="false">
      <c r="A90" s="2" t="n">
        <v>89</v>
      </c>
      <c r="B90" s="2" t="s">
        <v>283</v>
      </c>
      <c r="C90" s="3" t="s">
        <v>284</v>
      </c>
      <c r="D90" s="4" t="n">
        <v>46125</v>
      </c>
      <c r="E90" s="4" t="n">
        <v>46126</v>
      </c>
      <c r="F90" s="5" t="s">
        <v>285</v>
      </c>
      <c r="G90" s="6" t="s">
        <v>286</v>
      </c>
      <c r="H90" s="2" t="s">
        <v>53</v>
      </c>
      <c r="I90" s="2" t="s">
        <v>30</v>
      </c>
      <c r="J90" s="7" t="n">
        <v>4</v>
      </c>
      <c r="K90" s="3" t="s">
        <v>287</v>
      </c>
      <c r="L90" s="3" t="s">
        <v>288</v>
      </c>
      <c r="M90" s="2" t="s">
        <v>23</v>
      </c>
      <c r="N90" s="6"/>
      <c r="O90" s="3"/>
    </row>
    <row r="91" customFormat="false" ht="23.85" hidden="false" customHeight="false" outlineLevel="0" collapsed="false">
      <c r="A91" s="8" t="n">
        <v>90</v>
      </c>
      <c r="B91" s="8" t="s">
        <v>283</v>
      </c>
      <c r="C91" s="9" t="s">
        <v>284</v>
      </c>
      <c r="D91" s="10" t="n">
        <v>46125</v>
      </c>
      <c r="E91" s="10" t="n">
        <v>46127</v>
      </c>
      <c r="F91" s="11" t="s">
        <v>289</v>
      </c>
      <c r="G91" s="12" t="s">
        <v>286</v>
      </c>
      <c r="H91" s="8" t="s">
        <v>53</v>
      </c>
      <c r="I91" s="8" t="s">
        <v>30</v>
      </c>
      <c r="J91" s="13" t="n">
        <v>4</v>
      </c>
      <c r="K91" s="9" t="s">
        <v>290</v>
      </c>
      <c r="L91" s="9" t="s">
        <v>291</v>
      </c>
      <c r="M91" s="8" t="s">
        <v>23</v>
      </c>
      <c r="N91" s="12"/>
      <c r="O91" s="9"/>
    </row>
    <row r="92" customFormat="false" ht="23.85" hidden="false" customHeight="false" outlineLevel="0" collapsed="false">
      <c r="A92" s="2" t="n">
        <v>91</v>
      </c>
      <c r="B92" s="2" t="s">
        <v>283</v>
      </c>
      <c r="C92" s="3" t="s">
        <v>284</v>
      </c>
      <c r="D92" s="4" t="n">
        <v>46125</v>
      </c>
      <c r="E92" s="4" t="n">
        <v>46128</v>
      </c>
      <c r="F92" s="5" t="s">
        <v>292</v>
      </c>
      <c r="G92" s="6" t="s">
        <v>286</v>
      </c>
      <c r="H92" s="2" t="s">
        <v>53</v>
      </c>
      <c r="I92" s="2" t="s">
        <v>30</v>
      </c>
      <c r="J92" s="7" t="n">
        <v>4</v>
      </c>
      <c r="K92" s="3" t="s">
        <v>293</v>
      </c>
      <c r="L92" s="3" t="s">
        <v>294</v>
      </c>
      <c r="M92" s="2" t="s">
        <v>23</v>
      </c>
      <c r="N92" s="6"/>
      <c r="O92" s="3"/>
    </row>
    <row r="93" customFormat="false" ht="15" hidden="false" customHeight="false" outlineLevel="0" collapsed="false">
      <c r="A93" s="8" t="n">
        <v>92</v>
      </c>
      <c r="B93" s="8" t="s">
        <v>283</v>
      </c>
      <c r="C93" s="9" t="s">
        <v>284</v>
      </c>
      <c r="D93" s="10" t="n">
        <v>46125</v>
      </c>
      <c r="E93" s="10" t="n">
        <v>46129</v>
      </c>
      <c r="F93" s="11" t="s">
        <v>295</v>
      </c>
      <c r="G93" s="12" t="s">
        <v>286</v>
      </c>
      <c r="H93" s="8" t="s">
        <v>53</v>
      </c>
      <c r="I93" s="8" t="s">
        <v>30</v>
      </c>
      <c r="J93" s="13" t="n">
        <v>5</v>
      </c>
      <c r="K93" s="9" t="s">
        <v>296</v>
      </c>
      <c r="L93" s="9" t="s">
        <v>297</v>
      </c>
      <c r="M93" s="8" t="s">
        <v>23</v>
      </c>
      <c r="N93" s="12"/>
      <c r="O93" s="9"/>
    </row>
    <row r="94" customFormat="false" ht="15" hidden="false" customHeight="false" outlineLevel="0" collapsed="false">
      <c r="A94" s="2" t="n">
        <v>93</v>
      </c>
      <c r="B94" s="2" t="s">
        <v>283</v>
      </c>
      <c r="C94" s="3" t="s">
        <v>284</v>
      </c>
      <c r="D94" s="4" t="n">
        <v>46125</v>
      </c>
      <c r="E94" s="4" t="n">
        <v>46132</v>
      </c>
      <c r="F94" s="5" t="s">
        <v>298</v>
      </c>
      <c r="G94" s="6" t="s">
        <v>286</v>
      </c>
      <c r="H94" s="2" t="s">
        <v>53</v>
      </c>
      <c r="I94" s="2" t="s">
        <v>43</v>
      </c>
      <c r="J94" s="7" t="n">
        <v>4</v>
      </c>
      <c r="K94" s="3" t="s">
        <v>299</v>
      </c>
      <c r="L94" s="3" t="s">
        <v>300</v>
      </c>
      <c r="M94" s="2" t="s">
        <v>23</v>
      </c>
      <c r="N94" s="6"/>
      <c r="O94" s="3"/>
    </row>
    <row r="95" customFormat="false" ht="23.85" hidden="false" customHeight="false" outlineLevel="0" collapsed="false">
      <c r="A95" s="8" t="n">
        <v>94</v>
      </c>
      <c r="B95" s="8" t="s">
        <v>283</v>
      </c>
      <c r="C95" s="9" t="s">
        <v>284</v>
      </c>
      <c r="D95" s="10" t="n">
        <v>46125</v>
      </c>
      <c r="E95" s="10" t="n">
        <v>46133</v>
      </c>
      <c r="F95" s="11" t="s">
        <v>301</v>
      </c>
      <c r="G95" s="12" t="s">
        <v>286</v>
      </c>
      <c r="H95" s="8" t="s">
        <v>53</v>
      </c>
      <c r="I95" s="8" t="s">
        <v>30</v>
      </c>
      <c r="J95" s="13" t="n">
        <v>6</v>
      </c>
      <c r="K95" s="9" t="s">
        <v>302</v>
      </c>
      <c r="L95" s="9" t="s">
        <v>303</v>
      </c>
      <c r="M95" s="8" t="s">
        <v>23</v>
      </c>
      <c r="N95" s="12"/>
      <c r="O95" s="9"/>
    </row>
    <row r="96" customFormat="false" ht="23.85" hidden="false" customHeight="false" outlineLevel="0" collapsed="false">
      <c r="A96" s="2" t="n">
        <v>95</v>
      </c>
      <c r="B96" s="2" t="s">
        <v>283</v>
      </c>
      <c r="C96" s="3" t="s">
        <v>284</v>
      </c>
      <c r="D96" s="4" t="n">
        <v>46125</v>
      </c>
      <c r="E96" s="4" t="n">
        <v>46135</v>
      </c>
      <c r="F96" s="5" t="s">
        <v>304</v>
      </c>
      <c r="G96" s="6" t="s">
        <v>71</v>
      </c>
      <c r="H96" s="2" t="s">
        <v>53</v>
      </c>
      <c r="I96" s="2" t="s">
        <v>30</v>
      </c>
      <c r="J96" s="7" t="n">
        <v>4</v>
      </c>
      <c r="K96" s="3" t="s">
        <v>305</v>
      </c>
      <c r="L96" s="3" t="s">
        <v>306</v>
      </c>
      <c r="M96" s="2" t="s">
        <v>23</v>
      </c>
      <c r="N96" s="6"/>
      <c r="O96" s="3"/>
    </row>
    <row r="97" customFormat="false" ht="23.85" hidden="false" customHeight="false" outlineLevel="0" collapsed="false">
      <c r="A97" s="8" t="n">
        <v>96</v>
      </c>
      <c r="B97" s="8" t="s">
        <v>283</v>
      </c>
      <c r="C97" s="9" t="s">
        <v>284</v>
      </c>
      <c r="D97" s="10" t="n">
        <v>46125</v>
      </c>
      <c r="E97" s="10" t="n">
        <v>46136</v>
      </c>
      <c r="F97" s="11" t="s">
        <v>307</v>
      </c>
      <c r="G97" s="12" t="s">
        <v>71</v>
      </c>
      <c r="H97" s="8" t="s">
        <v>53</v>
      </c>
      <c r="I97" s="8" t="s">
        <v>43</v>
      </c>
      <c r="J97" s="13" t="n">
        <v>2</v>
      </c>
      <c r="K97" s="9" t="s">
        <v>308</v>
      </c>
      <c r="L97" s="9" t="s">
        <v>309</v>
      </c>
      <c r="M97" s="8" t="s">
        <v>23</v>
      </c>
      <c r="N97" s="12"/>
      <c r="O97" s="9"/>
    </row>
    <row r="98" customFormat="false" ht="23.85" hidden="false" customHeight="false" outlineLevel="0" collapsed="false">
      <c r="A98" s="2" t="n">
        <v>97</v>
      </c>
      <c r="B98" s="2" t="s">
        <v>283</v>
      </c>
      <c r="C98" s="3" t="s">
        <v>284</v>
      </c>
      <c r="D98" s="4" t="n">
        <v>46125</v>
      </c>
      <c r="E98" s="4" t="n">
        <v>46139</v>
      </c>
      <c r="F98" s="5" t="s">
        <v>310</v>
      </c>
      <c r="G98" s="6" t="s">
        <v>71</v>
      </c>
      <c r="H98" s="2" t="s">
        <v>53</v>
      </c>
      <c r="I98" s="2" t="s">
        <v>43</v>
      </c>
      <c r="J98" s="7" t="n">
        <v>5</v>
      </c>
      <c r="K98" s="3" t="s">
        <v>311</v>
      </c>
      <c r="L98" s="3" t="s">
        <v>312</v>
      </c>
      <c r="M98" s="2" t="s">
        <v>23</v>
      </c>
      <c r="N98" s="6"/>
      <c r="O98" s="3"/>
    </row>
    <row r="99" customFormat="false" ht="15" hidden="false" customHeight="false" outlineLevel="0" collapsed="false">
      <c r="A99" s="8" t="n">
        <v>98</v>
      </c>
      <c r="B99" s="8" t="s">
        <v>283</v>
      </c>
      <c r="C99" s="9" t="s">
        <v>284</v>
      </c>
      <c r="D99" s="10" t="n">
        <v>46125</v>
      </c>
      <c r="E99" s="10" t="n">
        <v>46140</v>
      </c>
      <c r="F99" s="11" t="s">
        <v>313</v>
      </c>
      <c r="G99" s="12" t="s">
        <v>71</v>
      </c>
      <c r="H99" s="8" t="s">
        <v>53</v>
      </c>
      <c r="I99" s="8" t="s">
        <v>43</v>
      </c>
      <c r="J99" s="13" t="n">
        <v>2</v>
      </c>
      <c r="K99" s="9" t="s">
        <v>57</v>
      </c>
      <c r="L99" s="9" t="s">
        <v>314</v>
      </c>
      <c r="M99" s="8" t="s">
        <v>23</v>
      </c>
      <c r="N99" s="12"/>
      <c r="O99" s="9"/>
    </row>
    <row r="100" customFormat="false" ht="23.85" hidden="false" customHeight="false" outlineLevel="0" collapsed="false">
      <c r="A100" s="2" t="n">
        <v>99</v>
      </c>
      <c r="B100" s="2" t="s">
        <v>283</v>
      </c>
      <c r="C100" s="3" t="s">
        <v>284</v>
      </c>
      <c r="D100" s="4" t="n">
        <v>46125</v>
      </c>
      <c r="E100" s="4" t="n">
        <v>46141</v>
      </c>
      <c r="F100" s="5" t="s">
        <v>315</v>
      </c>
      <c r="G100" s="6" t="s">
        <v>72</v>
      </c>
      <c r="H100" s="2" t="s">
        <v>72</v>
      </c>
      <c r="I100" s="2" t="s">
        <v>30</v>
      </c>
      <c r="J100" s="7" t="n">
        <v>4</v>
      </c>
      <c r="K100" s="3" t="s">
        <v>316</v>
      </c>
      <c r="L100" s="3" t="s">
        <v>317</v>
      </c>
      <c r="M100" s="2" t="s">
        <v>23</v>
      </c>
      <c r="N100" s="6"/>
      <c r="O100" s="3"/>
    </row>
    <row r="101" customFormat="false" ht="23.85" hidden="false" customHeight="false" outlineLevel="0" collapsed="false">
      <c r="A101" s="8" t="n">
        <v>100</v>
      </c>
      <c r="B101" s="8" t="s">
        <v>283</v>
      </c>
      <c r="C101" s="9" t="s">
        <v>284</v>
      </c>
      <c r="D101" s="10" t="n">
        <v>46125</v>
      </c>
      <c r="E101" s="10" t="n">
        <v>46142</v>
      </c>
      <c r="F101" s="11" t="s">
        <v>318</v>
      </c>
      <c r="G101" s="12" t="s">
        <v>71</v>
      </c>
      <c r="H101" s="8" t="s">
        <v>53</v>
      </c>
      <c r="I101" s="8" t="s">
        <v>43</v>
      </c>
      <c r="J101" s="13" t="n">
        <v>3</v>
      </c>
      <c r="K101" s="9" t="s">
        <v>319</v>
      </c>
      <c r="L101" s="9" t="s">
        <v>320</v>
      </c>
      <c r="M101" s="8" t="s">
        <v>23</v>
      </c>
      <c r="N101" s="12"/>
      <c r="O101" s="9"/>
    </row>
  </sheetData>
  <autoFilter ref="A1:O101"/>
  <conditionalFormatting sqref="I2:I101">
    <cfRule type="cellIs" priority="2" operator="equal" aboveAverage="0" equalAverage="0" bottom="0" percent="0" rank="0" text="" dxfId="8">
      <formula>"Critical"</formula>
    </cfRule>
    <cfRule type="cellIs" priority="3" operator="equal" aboveAverage="0" equalAverage="0" bottom="0" percent="0" rank="0" text="" dxfId="9">
      <formula>"High"</formula>
    </cfRule>
  </conditionalFormatting>
  <conditionalFormatting sqref="M2:M101">
    <cfRule type="cellIs" priority="4" operator="equal" aboveAverage="0" equalAverage="0" bottom="0" percent="0" rank="0" text="" dxfId="10">
      <formula>"Done"</formula>
    </cfRule>
    <cfRule type="cellIs" priority="5" operator="equal" aboveAverage="0" equalAverage="0" bottom="0" percent="0" rank="0" text="" dxfId="11">
      <formula>"Blocked"</formula>
    </cfRule>
  </conditionalFormatting>
  <dataValidations count="2">
    <dataValidation allowBlank="true" errorStyle="stop" operator="between" showDropDown="false" showErrorMessage="false" showInputMessage="false" sqref="M2:M101" type="list">
      <formula1>"Not started,In progress,In review,Blocked,Done"</formula1>
      <formula2>0</formula2>
    </dataValidation>
    <dataValidation allowBlank="true" errorStyle="stop" operator="between" showDropDown="false" showErrorMessage="false" showInputMessage="false" sqref="I2:I101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9" min="8" style="0" width="9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4" t="s">
        <v>321</v>
      </c>
    </row>
    <row r="2" customFormat="false" ht="15" hidden="false" customHeight="false" outlineLevel="0" collapsed="false">
      <c r="A2" s="15" t="s">
        <v>322</v>
      </c>
    </row>
    <row r="4" customFormat="false" ht="15" hidden="false" customHeight="false" outlineLevel="0" collapsed="false">
      <c r="A4" s="1" t="s">
        <v>1</v>
      </c>
      <c r="B4" s="1" t="s">
        <v>323</v>
      </c>
      <c r="C4" s="1" t="s">
        <v>3</v>
      </c>
      <c r="D4" s="1" t="s">
        <v>324</v>
      </c>
      <c r="E4" s="1" t="s">
        <v>325</v>
      </c>
      <c r="F4" s="1" t="s">
        <v>9</v>
      </c>
      <c r="G4" s="1" t="s">
        <v>20</v>
      </c>
      <c r="H4" s="1" t="s">
        <v>30</v>
      </c>
      <c r="I4" s="1" t="s">
        <v>326</v>
      </c>
      <c r="J4" s="1" t="s">
        <v>327</v>
      </c>
    </row>
    <row r="5" customFormat="false" ht="15" hidden="false" customHeight="false" outlineLevel="0" collapsed="false">
      <c r="A5" s="16" t="s">
        <v>15</v>
      </c>
      <c r="B5" s="17" t="s">
        <v>16</v>
      </c>
      <c r="C5" s="18" t="n">
        <v>46055</v>
      </c>
      <c r="D5" s="18" t="n">
        <v>46066</v>
      </c>
      <c r="E5" s="16" t="n">
        <f aca="false">COUNTIF(Backlog!$B$2:$B$101,$A5)</f>
        <v>17</v>
      </c>
      <c r="F5" s="19" t="n">
        <f aca="false">SUMIF(Backlog!$B$2:$B$101,$A5,Backlog!$J$2:$J$101)</f>
        <v>30.5</v>
      </c>
      <c r="G5" s="16" t="n">
        <f aca="false">COUNTIFS(Backlog!$B$2:$B$101,$A5,Backlog!$I$2:$I$101,"Critical")</f>
        <v>3</v>
      </c>
      <c r="H5" s="16" t="n">
        <f aca="false">COUNTIFS(Backlog!$B$2:$B$101,$A5,Backlog!$I$2:$I$101,"High")</f>
        <v>9</v>
      </c>
      <c r="I5" s="16" t="n">
        <f aca="false">COUNTIFS(Backlog!$B$2:$B$101,$A5,Backlog!$M$2:$M$101,"Done")</f>
        <v>0</v>
      </c>
      <c r="J5" s="20" t="n">
        <f aca="false">IFERROR($I5/$E5,0)</f>
        <v>0</v>
      </c>
    </row>
    <row r="6" customFormat="false" ht="15" hidden="false" customHeight="false" outlineLevel="0" collapsed="false">
      <c r="A6" s="16" t="s">
        <v>75</v>
      </c>
      <c r="B6" s="17" t="s">
        <v>76</v>
      </c>
      <c r="C6" s="18" t="n">
        <v>46069</v>
      </c>
      <c r="D6" s="18" t="n">
        <v>46080</v>
      </c>
      <c r="E6" s="16" t="n">
        <f aca="false">COUNTIF(Backlog!$B$2:$B$101,$A6)</f>
        <v>20</v>
      </c>
      <c r="F6" s="19" t="n">
        <f aca="false">SUMIF(Backlog!$B$2:$B$101,$A6,Backlog!$J$2:$J$101)</f>
        <v>45</v>
      </c>
      <c r="G6" s="16" t="n">
        <f aca="false">COUNTIFS(Backlog!$B$2:$B$101,$A6,Backlog!$I$2:$I$101,"Critical")</f>
        <v>1</v>
      </c>
      <c r="H6" s="16" t="n">
        <f aca="false">COUNTIFS(Backlog!$B$2:$B$101,$A6,Backlog!$I$2:$I$101,"High")</f>
        <v>8</v>
      </c>
      <c r="I6" s="16" t="n">
        <f aca="false">COUNTIFS(Backlog!$B$2:$B$101,$A6,Backlog!$M$2:$M$101,"Done")</f>
        <v>0</v>
      </c>
      <c r="J6" s="20" t="n">
        <f aca="false">IFERROR($I6/$E6,0)</f>
        <v>0</v>
      </c>
    </row>
    <row r="7" customFormat="false" ht="15" hidden="false" customHeight="false" outlineLevel="0" collapsed="false">
      <c r="A7" s="16" t="s">
        <v>131</v>
      </c>
      <c r="B7" s="17" t="s">
        <v>132</v>
      </c>
      <c r="C7" s="18" t="n">
        <v>46083</v>
      </c>
      <c r="D7" s="18" t="n">
        <v>46094</v>
      </c>
      <c r="E7" s="16" t="n">
        <f aca="false">COUNTIF(Backlog!$B$2:$B$101,$A7)</f>
        <v>18</v>
      </c>
      <c r="F7" s="19" t="n">
        <f aca="false">SUMIF(Backlog!$B$2:$B$101,$A7,Backlog!$J$2:$J$101)</f>
        <v>64</v>
      </c>
      <c r="G7" s="16" t="n">
        <f aca="false">COUNTIFS(Backlog!$B$2:$B$101,$A7,Backlog!$I$2:$I$101,"Critical")</f>
        <v>5</v>
      </c>
      <c r="H7" s="16" t="n">
        <f aca="false">COUNTIFS(Backlog!$B$2:$B$101,$A7,Backlog!$I$2:$I$101,"High")</f>
        <v>5</v>
      </c>
      <c r="I7" s="16" t="n">
        <f aca="false">COUNTIFS(Backlog!$B$2:$B$101,$A7,Backlog!$M$2:$M$101,"Done")</f>
        <v>0</v>
      </c>
      <c r="J7" s="20" t="n">
        <f aca="false">IFERROR($I7/$E7,0)</f>
        <v>0</v>
      </c>
    </row>
    <row r="8" customFormat="false" ht="15" hidden="false" customHeight="false" outlineLevel="0" collapsed="false">
      <c r="A8" s="16" t="s">
        <v>180</v>
      </c>
      <c r="B8" s="17" t="s">
        <v>181</v>
      </c>
      <c r="C8" s="18" t="n">
        <v>46097</v>
      </c>
      <c r="D8" s="18" t="n">
        <v>46108</v>
      </c>
      <c r="E8" s="16" t="n">
        <f aca="false">COUNTIF(Backlog!$B$2:$B$101,$A8)</f>
        <v>17</v>
      </c>
      <c r="F8" s="19" t="n">
        <f aca="false">SUMIF(Backlog!$B$2:$B$101,$A8,Backlog!$J$2:$J$101)</f>
        <v>36</v>
      </c>
      <c r="G8" s="16" t="n">
        <f aca="false">COUNTIFS(Backlog!$B$2:$B$101,$A8,Backlog!$I$2:$I$101,"Critical")</f>
        <v>0</v>
      </c>
      <c r="H8" s="16" t="n">
        <f aca="false">COUNTIFS(Backlog!$B$2:$B$101,$A8,Backlog!$I$2:$I$101,"High")</f>
        <v>5</v>
      </c>
      <c r="I8" s="16" t="n">
        <f aca="false">COUNTIFS(Backlog!$B$2:$B$101,$A8,Backlog!$M$2:$M$101,"Done")</f>
        <v>0</v>
      </c>
      <c r="J8" s="20" t="n">
        <f aca="false">IFERROR($I8/$E8,0)</f>
        <v>0</v>
      </c>
    </row>
    <row r="9" customFormat="false" ht="15" hidden="false" customHeight="false" outlineLevel="0" collapsed="false">
      <c r="A9" s="16" t="s">
        <v>231</v>
      </c>
      <c r="B9" s="17" t="s">
        <v>232</v>
      </c>
      <c r="C9" s="18" t="n">
        <v>46111</v>
      </c>
      <c r="D9" s="18" t="n">
        <v>46122</v>
      </c>
      <c r="E9" s="16" t="n">
        <f aca="false">COUNTIF(Backlog!$B$2:$B$101,$A9)</f>
        <v>16</v>
      </c>
      <c r="F9" s="19" t="n">
        <f aca="false">SUMIF(Backlog!$B$2:$B$101,$A9,Backlog!$J$2:$J$101)</f>
        <v>54</v>
      </c>
      <c r="G9" s="16" t="n">
        <f aca="false">COUNTIFS(Backlog!$B$2:$B$101,$A9,Backlog!$I$2:$I$101,"Critical")</f>
        <v>0</v>
      </c>
      <c r="H9" s="16" t="n">
        <f aca="false">COUNTIFS(Backlog!$B$2:$B$101,$A9,Backlog!$I$2:$I$101,"High")</f>
        <v>4</v>
      </c>
      <c r="I9" s="16" t="n">
        <f aca="false">COUNTIFS(Backlog!$B$2:$B$101,$A9,Backlog!$M$2:$M$101,"Done")</f>
        <v>0</v>
      </c>
      <c r="J9" s="20" t="n">
        <f aca="false">IFERROR($I9/$E9,0)</f>
        <v>0</v>
      </c>
    </row>
    <row r="10" customFormat="false" ht="15" hidden="false" customHeight="false" outlineLevel="0" collapsed="false">
      <c r="A10" s="16" t="s">
        <v>283</v>
      </c>
      <c r="B10" s="17" t="s">
        <v>284</v>
      </c>
      <c r="C10" s="18" t="n">
        <v>46125</v>
      </c>
      <c r="D10" s="18" t="n">
        <v>46142</v>
      </c>
      <c r="E10" s="16" t="n">
        <f aca="false">COUNTIF(Backlog!$B$2:$B$101,$A10)</f>
        <v>12</v>
      </c>
      <c r="F10" s="19" t="n">
        <f aca="false">SUMIF(Backlog!$B$2:$B$101,$A10,Backlog!$J$2:$J$101)</f>
        <v>47</v>
      </c>
      <c r="G10" s="16" t="n">
        <f aca="false">COUNTIFS(Backlog!$B$2:$B$101,$A10,Backlog!$I$2:$I$101,"Critical")</f>
        <v>0</v>
      </c>
      <c r="H10" s="16" t="n">
        <f aca="false">COUNTIFS(Backlog!$B$2:$B$101,$A10,Backlog!$I$2:$I$101,"High")</f>
        <v>7</v>
      </c>
      <c r="I10" s="16" t="n">
        <f aca="false">COUNTIFS(Backlog!$B$2:$B$101,$A10,Backlog!$M$2:$M$101,"Done")</f>
        <v>0</v>
      </c>
      <c r="J10" s="20" t="n">
        <f aca="false">IFERROR($I10/$E10,0)</f>
        <v>0</v>
      </c>
    </row>
    <row r="11" customFormat="false" ht="15" hidden="false" customHeight="false" outlineLevel="0" collapsed="false">
      <c r="A11" s="21" t="s">
        <v>328</v>
      </c>
      <c r="B11" s="22" t="s">
        <v>329</v>
      </c>
      <c r="C11" s="23" t="n">
        <v>46055</v>
      </c>
      <c r="D11" s="23" t="n">
        <v>46142</v>
      </c>
      <c r="E11" s="21" t="n">
        <f aca="false">SUM(E5:E10)</f>
        <v>100</v>
      </c>
      <c r="F11" s="24" t="n">
        <f aca="false">SUM(F5:F10)</f>
        <v>276.5</v>
      </c>
      <c r="G11" s="21" t="n">
        <f aca="false">SUM(G5:G10)</f>
        <v>9</v>
      </c>
      <c r="H11" s="21" t="n">
        <f aca="false">SUM(H5:H10)</f>
        <v>38</v>
      </c>
      <c r="I11" s="21" t="n">
        <f aca="false">SUM(I5:I10)</f>
        <v>0</v>
      </c>
      <c r="J11" s="25" t="n">
        <f aca="false">IFERROR($I11/$E11,0)</f>
        <v>0</v>
      </c>
    </row>
    <row r="14" customFormat="false" ht="15" hidden="false" customHeight="false" outlineLevel="0" collapsed="false">
      <c r="A14" s="26" t="s">
        <v>330</v>
      </c>
    </row>
    <row r="15" customFormat="false" ht="15" hidden="false" customHeight="false" outlineLevel="0" collapsed="false">
      <c r="A15" s="27" t="s">
        <v>6</v>
      </c>
      <c r="B15" s="27" t="s">
        <v>325</v>
      </c>
      <c r="C15" s="27" t="s">
        <v>9</v>
      </c>
      <c r="D15" s="27" t="s">
        <v>331</v>
      </c>
    </row>
    <row r="16" customFormat="false" ht="15" hidden="false" customHeight="false" outlineLevel="0" collapsed="false">
      <c r="A16" s="28" t="s">
        <v>250</v>
      </c>
      <c r="B16" s="29" t="n">
        <f aca="false">COUNTIF(Backlog!$G$2:$G$101,$A16)</f>
        <v>3</v>
      </c>
      <c r="C16" s="30" t="n">
        <f aca="false">SUMIF(Backlog!$G$2:$G$101,$A16,Backlog!$J$2:$J$101)</f>
        <v>8</v>
      </c>
      <c r="D16" s="31" t="n">
        <f aca="false">IFERROR($C16/SUM($C$16:$C$28),0)</f>
        <v>0.0289330922242315</v>
      </c>
    </row>
    <row r="17" customFormat="false" ht="15" hidden="false" customHeight="false" outlineLevel="0" collapsed="false">
      <c r="A17" s="28" t="s">
        <v>18</v>
      </c>
      <c r="B17" s="29" t="n">
        <f aca="false">COUNTIF(Backlog!$G$2:$G$101,$A17)</f>
        <v>6</v>
      </c>
      <c r="C17" s="30" t="n">
        <f aca="false">SUMIF(Backlog!$G$2:$G$101,$A17,Backlog!$J$2:$J$101)</f>
        <v>11.5</v>
      </c>
      <c r="D17" s="31" t="n">
        <f aca="false">IFERROR($C17/SUM($C$16:$C$28),0)</f>
        <v>0.0415913200723327</v>
      </c>
    </row>
    <row r="18" customFormat="false" ht="15" hidden="false" customHeight="false" outlineLevel="0" collapsed="false">
      <c r="A18" s="28" t="s">
        <v>35</v>
      </c>
      <c r="B18" s="29" t="n">
        <f aca="false">COUNTIF(Backlog!$G$2:$G$101,$A18)</f>
        <v>29</v>
      </c>
      <c r="C18" s="30" t="n">
        <f aca="false">SUMIF(Backlog!$G$2:$G$101,$A18,Backlog!$J$2:$J$101)</f>
        <v>63</v>
      </c>
      <c r="D18" s="31" t="n">
        <f aca="false">IFERROR($C18/SUM($C$16:$C$28),0)</f>
        <v>0.227848101265823</v>
      </c>
    </row>
    <row r="19" customFormat="false" ht="15" hidden="false" customHeight="false" outlineLevel="0" collapsed="false">
      <c r="A19" s="28" t="s">
        <v>36</v>
      </c>
      <c r="B19" s="29" t="n">
        <f aca="false">COUNTIF(Backlog!$G$2:$G$101,$A19)</f>
        <v>2</v>
      </c>
      <c r="C19" s="30" t="n">
        <f aca="false">SUMIF(Backlog!$G$2:$G$101,$A19,Backlog!$J$2:$J$101)</f>
        <v>2.5</v>
      </c>
      <c r="D19" s="31" t="n">
        <f aca="false">IFERROR($C19/SUM($C$16:$C$28),0)</f>
        <v>0.00904159132007233</v>
      </c>
    </row>
    <row r="20" customFormat="false" ht="15" hidden="false" customHeight="false" outlineLevel="0" collapsed="false">
      <c r="A20" s="28" t="s">
        <v>71</v>
      </c>
      <c r="B20" s="29" t="n">
        <f aca="false">COUNTIF(Backlog!$G$2:$G$101,$A20)</f>
        <v>8</v>
      </c>
      <c r="C20" s="30" t="n">
        <f aca="false">SUMIF(Backlog!$G$2:$G$101,$A20,Backlog!$J$2:$J$101)</f>
        <v>22</v>
      </c>
      <c r="D20" s="31" t="n">
        <f aca="false">IFERROR($C20/SUM($C$16:$C$28),0)</f>
        <v>0.0795660036166365</v>
      </c>
    </row>
    <row r="21" customFormat="false" ht="15" hidden="false" customHeight="false" outlineLevel="0" collapsed="false">
      <c r="A21" s="28" t="s">
        <v>72</v>
      </c>
      <c r="B21" s="29" t="n">
        <f aca="false">COUNTIF(Backlog!$G$2:$G$101,$A21)</f>
        <v>1</v>
      </c>
      <c r="C21" s="30" t="n">
        <f aca="false">SUMIF(Backlog!$G$2:$G$101,$A21,Backlog!$J$2:$J$101)</f>
        <v>4</v>
      </c>
      <c r="D21" s="31" t="n">
        <f aca="false">IFERROR($C21/SUM($C$16:$C$28),0)</f>
        <v>0.0144665461121157</v>
      </c>
    </row>
    <row r="22" customFormat="false" ht="15" hidden="false" customHeight="false" outlineLevel="0" collapsed="false">
      <c r="A22" s="28" t="s">
        <v>53</v>
      </c>
      <c r="B22" s="29" t="n">
        <f aca="false">COUNTIF(Backlog!$G$2:$G$101,$A22)</f>
        <v>12</v>
      </c>
      <c r="C22" s="30" t="n">
        <f aca="false">SUMIF(Backlog!$G$2:$G$101,$A22,Backlog!$J$2:$J$101)</f>
        <v>57</v>
      </c>
      <c r="D22" s="31" t="n">
        <f aca="false">IFERROR($C22/SUM($C$16:$C$28),0)</f>
        <v>0.206148282097649</v>
      </c>
    </row>
    <row r="23" customFormat="false" ht="15" hidden="false" customHeight="false" outlineLevel="0" collapsed="false">
      <c r="A23" s="28" t="s">
        <v>83</v>
      </c>
      <c r="B23" s="29" t="n">
        <f aca="false">COUNTIF(Backlog!$G$2:$G$101,$A23)</f>
        <v>15</v>
      </c>
      <c r="C23" s="30" t="n">
        <f aca="false">SUMIF(Backlog!$G$2:$G$101,$A23,Backlog!$J$2:$J$101)</f>
        <v>34.5</v>
      </c>
      <c r="D23" s="31" t="n">
        <f aca="false">IFERROR($C23/SUM($C$16:$C$28),0)</f>
        <v>0.124773960216998</v>
      </c>
    </row>
    <row r="24" customFormat="false" ht="15" hidden="false" customHeight="false" outlineLevel="0" collapsed="false">
      <c r="A24" s="28" t="s">
        <v>140</v>
      </c>
      <c r="B24" s="29" t="n">
        <f aca="false">COUNTIF(Backlog!$G$2:$G$101,$A24)</f>
        <v>3</v>
      </c>
      <c r="C24" s="30" t="n">
        <f aca="false">SUMIF(Backlog!$G$2:$G$101,$A24,Backlog!$J$2:$J$101)</f>
        <v>18</v>
      </c>
      <c r="D24" s="31" t="n">
        <f aca="false">IFERROR($C24/SUM($C$16:$C$28),0)</f>
        <v>0.0650994575045208</v>
      </c>
    </row>
    <row r="25" customFormat="false" ht="15" hidden="false" customHeight="false" outlineLevel="0" collapsed="false">
      <c r="A25" s="28" t="s">
        <v>234</v>
      </c>
      <c r="B25" s="29" t="n">
        <f aca="false">COUNTIF(Backlog!$G$2:$G$101,$A25)</f>
        <v>3</v>
      </c>
      <c r="C25" s="30" t="n">
        <f aca="false">SUMIF(Backlog!$G$2:$G$101,$A25,Backlog!$J$2:$J$101)</f>
        <v>8</v>
      </c>
      <c r="D25" s="31" t="n">
        <f aca="false">IFERROR($C25/SUM($C$16:$C$28),0)</f>
        <v>0.0289330922242315</v>
      </c>
    </row>
    <row r="26" customFormat="false" ht="15" hidden="false" customHeight="false" outlineLevel="0" collapsed="false">
      <c r="A26" s="28" t="s">
        <v>122</v>
      </c>
      <c r="B26" s="29" t="n">
        <f aca="false">COUNTIF(Backlog!$G$2:$G$101,$A26)</f>
        <v>3</v>
      </c>
      <c r="C26" s="30" t="n">
        <f aca="false">SUMIF(Backlog!$G$2:$G$101,$A26,Backlog!$J$2:$J$101)</f>
        <v>8</v>
      </c>
      <c r="D26" s="31" t="n">
        <f aca="false">IFERROR($C26/SUM($C$16:$C$28),0)</f>
        <v>0.0289330922242315</v>
      </c>
    </row>
    <row r="27" customFormat="false" ht="15" hidden="false" customHeight="false" outlineLevel="0" collapsed="false">
      <c r="A27" s="28" t="s">
        <v>27</v>
      </c>
      <c r="B27" s="29" t="n">
        <f aca="false">COUNTIF(Backlog!$G$2:$G$101,$A27)</f>
        <v>9</v>
      </c>
      <c r="C27" s="30" t="n">
        <f aca="false">SUMIF(Backlog!$G$2:$G$101,$A27,Backlog!$J$2:$J$101)</f>
        <v>13</v>
      </c>
      <c r="D27" s="31" t="n">
        <f aca="false">IFERROR($C27/SUM($C$16:$C$28),0)</f>
        <v>0.0470162748643761</v>
      </c>
    </row>
    <row r="28" customFormat="false" ht="15" hidden="false" customHeight="false" outlineLevel="0" collapsed="false">
      <c r="A28" s="28" t="s">
        <v>286</v>
      </c>
      <c r="B28" s="29" t="n">
        <f aca="false">COUNTIF(Backlog!$G$2:$G$101,$A28)</f>
        <v>6</v>
      </c>
      <c r="C28" s="30" t="n">
        <f aca="false">SUMIF(Backlog!$G$2:$G$101,$A28,Backlog!$J$2:$J$101)</f>
        <v>27</v>
      </c>
      <c r="D28" s="31" t="n">
        <f aca="false">IFERROR($C28/SUM($C$16:$C$28),0)</f>
        <v>0.0976491862567812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4"/>
  </cols>
  <sheetData>
    <row r="1" customFormat="false" ht="17.35" hidden="false" customHeight="false" outlineLevel="0" collapsed="false">
      <c r="A1" s="14" t="s">
        <v>332</v>
      </c>
    </row>
    <row r="2" customFormat="false" ht="23.85" hidden="false" customHeight="false" outlineLevel="0" collapsed="false">
      <c r="A2" s="32" t="s">
        <v>333</v>
      </c>
      <c r="B2" s="33" t="s">
        <v>334</v>
      </c>
    </row>
    <row r="3" customFormat="false" ht="15" hidden="false" customHeight="false" outlineLevel="0" collapsed="false">
      <c r="A3" s="32" t="s">
        <v>335</v>
      </c>
      <c r="B3" s="33" t="s">
        <v>336</v>
      </c>
    </row>
    <row r="4" customFormat="false" ht="23.85" hidden="false" customHeight="false" outlineLevel="0" collapsed="false">
      <c r="A4" s="32" t="s">
        <v>337</v>
      </c>
      <c r="B4" s="33" t="s">
        <v>338</v>
      </c>
    </row>
    <row r="5" customFormat="false" ht="15" hidden="false" customHeight="false" outlineLevel="0" collapsed="false">
      <c r="A5" s="32"/>
      <c r="B5" s="33"/>
    </row>
    <row r="6" customFormat="false" ht="15" hidden="false" customHeight="false" outlineLevel="0" collapsed="false">
      <c r="A6" s="32" t="s">
        <v>339</v>
      </c>
      <c r="B6" s="33" t="s">
        <v>340</v>
      </c>
    </row>
    <row r="7" customFormat="false" ht="15" hidden="false" customHeight="false" outlineLevel="0" collapsed="false">
      <c r="A7" s="32" t="s">
        <v>341</v>
      </c>
      <c r="B7" s="33" t="s">
        <v>342</v>
      </c>
    </row>
    <row r="8" customFormat="false" ht="15" hidden="false" customHeight="false" outlineLevel="0" collapsed="false">
      <c r="A8" s="32" t="s">
        <v>343</v>
      </c>
      <c r="B8" s="33" t="s">
        <v>344</v>
      </c>
    </row>
    <row r="9" customFormat="false" ht="15" hidden="false" customHeight="false" outlineLevel="0" collapsed="false">
      <c r="A9" s="32" t="s">
        <v>9</v>
      </c>
      <c r="B9" s="33" t="s">
        <v>345</v>
      </c>
    </row>
    <row r="10" customFormat="false" ht="15" hidden="false" customHeight="false" outlineLevel="0" collapsed="false">
      <c r="A10" s="32" t="s">
        <v>346</v>
      </c>
      <c r="B10" s="33" t="s">
        <v>347</v>
      </c>
    </row>
    <row r="11" customFormat="false" ht="15" hidden="false" customHeight="false" outlineLevel="0" collapsed="false">
      <c r="A11" s="32"/>
      <c r="B11" s="33"/>
    </row>
    <row r="12" customFormat="false" ht="23.85" hidden="false" customHeight="false" outlineLevel="0" collapsed="false">
      <c r="A12" s="32" t="s">
        <v>348</v>
      </c>
      <c r="B12" s="33" t="s">
        <v>349</v>
      </c>
    </row>
    <row r="13" customFormat="false" ht="15" hidden="false" customHeight="false" outlineLevel="0" collapsed="false">
      <c r="A13" s="32"/>
      <c r="B13" s="33"/>
    </row>
    <row r="14" customFormat="false" ht="23.85" hidden="false" customHeight="false" outlineLevel="0" collapsed="false">
      <c r="A14" s="32" t="s">
        <v>350</v>
      </c>
      <c r="B14" s="33" t="s">
        <v>351</v>
      </c>
    </row>
    <row r="15" customFormat="false" ht="23.85" hidden="false" customHeight="false" outlineLevel="0" collapsed="false">
      <c r="A15" s="32" t="s">
        <v>352</v>
      </c>
      <c r="B15" s="33" t="s">
        <v>353</v>
      </c>
    </row>
    <row r="16" customFormat="false" ht="15" hidden="false" customHeight="false" outlineLevel="0" collapsed="false">
      <c r="A16" s="32" t="s">
        <v>354</v>
      </c>
      <c r="B16" s="33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2026-07-28T16:20:14Z</dcterms:created>
  <dc:creator>openpyxl</dc:creator>
  <dc:description/>
  <dc:language>en-US</dc:language>
  <cp:lastModifiedBy/>
  <dcterms:modified xsi:type="dcterms:W3CDTF">2026-07-28T16:20:14Z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